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 10\Desktop\dashboard\"/>
    </mc:Choice>
  </mc:AlternateContent>
  <bookViews>
    <workbookView xWindow="0" yWindow="0" windowWidth="20490" windowHeight="7650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4" i="1"/>
  <c r="O11" i="1"/>
  <c r="O188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</calcChain>
</file>

<file path=xl/sharedStrings.xml><?xml version="1.0" encoding="utf-8"?>
<sst xmlns="http://schemas.openxmlformats.org/spreadsheetml/2006/main" count="592" uniqueCount="573">
  <si>
    <t>Pernambuco | Todos os Municípios</t>
  </si>
  <si>
    <t>Município [-]</t>
  </si>
  <si>
    <t>Código [-]</t>
  </si>
  <si>
    <t>Gentílico [-]</t>
  </si>
  <si>
    <t>Prefeito [2025]</t>
  </si>
  <si>
    <t>Área Territorial - km² [2024]</t>
  </si>
  <si>
    <t>População no último censo - pessoas [2022]</t>
  </si>
  <si>
    <t>Densidade demográfica - hab/km² [2022]</t>
  </si>
  <si>
    <t>População estimada - pessoas [2025]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</si>
  <si>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</si>
  <si>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</si>
  <si>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[2023]</t>
  </si>
  <si>
    <t>Total de receitas brutas realizadas - R$ [2024]</t>
  </si>
  <si>
    <t>Total de despesas brutas empenhadas - R$ [2024]</t>
  </si>
  <si>
    <t>PIB per capita - R$ [2021]</t>
  </si>
  <si>
    <t>Abreu e Lima</t>
  </si>
  <si>
    <t>abreu-limense</t>
  </si>
  <si>
    <t>FLAVIO VIEIRA GADELHA DE ALBUQUERQUE</t>
  </si>
  <si>
    <t>Afogados da Ingazeira</t>
  </si>
  <si>
    <t>afogadense</t>
  </si>
  <si>
    <t>ALESANDRO PALMEIRA DE VASCONCELOS LEITE</t>
  </si>
  <si>
    <t>Afrânio</t>
  </si>
  <si>
    <t>afraniense</t>
  </si>
  <si>
    <t>CLOVES RAMOS DE MACEDO</t>
  </si>
  <si>
    <t>-</t>
  </si>
  <si>
    <t>Agrestina</t>
  </si>
  <si>
    <t>agrestinense</t>
  </si>
  <si>
    <t>JOSUÉ MENDES DA SILVA</t>
  </si>
  <si>
    <t>Água Preta</t>
  </si>
  <si>
    <t>água-pretense</t>
  </si>
  <si>
    <t>ANTONIO MANOEL DA SILVA</t>
  </si>
  <si>
    <t>Águas Belas</t>
  </si>
  <si>
    <t>águas-belense</t>
  </si>
  <si>
    <t>JOSÉ ELTON MARTINS DE SOUZA</t>
  </si>
  <si>
    <t>Alagoinha</t>
  </si>
  <si>
    <t>alagoinhense</t>
  </si>
  <si>
    <t>SIMAO CIRINEU DA COSTA NETO</t>
  </si>
  <si>
    <t>Aliança</t>
  </si>
  <si>
    <t>aliancense</t>
  </si>
  <si>
    <t>PEDRO ERMIRIO DE ALMEIDA FREITAS FILHO</t>
  </si>
  <si>
    <t>Altinho</t>
  </si>
  <si>
    <t>altinense</t>
  </si>
  <si>
    <t>MARIVALDO PENA</t>
  </si>
  <si>
    <t>Amaraji</t>
  </si>
  <si>
    <t>amarajinense</t>
  </si>
  <si>
    <t>FLÁUCIO DE ARAÚJO GUIMARÃES</t>
  </si>
  <si>
    <t>Angelim</t>
  </si>
  <si>
    <t>angelinense</t>
  </si>
  <si>
    <t>CARLOS HENRIQUE FIGUEIREDO LOPES LIMA</t>
  </si>
  <si>
    <t>Araçoiaba</t>
  </si>
  <si>
    <t>araçoiabense</t>
  </si>
  <si>
    <t>CARLOS JOGLI ALBUQUERQUE TAVARES UCHÔA</t>
  </si>
  <si>
    <t>Araripina</t>
  </si>
  <si>
    <t>araripinense</t>
  </si>
  <si>
    <t>EVILÁSIO MATEUS DA SILVA CARDOSO</t>
  </si>
  <si>
    <t>Arcoverde</t>
  </si>
  <si>
    <t>arcoverdense</t>
  </si>
  <si>
    <t>JOSÉ CAVALCANTI ALVES JÚNIOR</t>
  </si>
  <si>
    <t>Barra de Guabiraba</t>
  </si>
  <si>
    <t>guabirabense</t>
  </si>
  <si>
    <t>DIOGO CARLOS DE LIMA SILVA</t>
  </si>
  <si>
    <t>Barreiros</t>
  </si>
  <si>
    <t>barreirense</t>
  </si>
  <si>
    <t>CARLOS ARTUR SOARES DE AVELLAR JUNIOR</t>
  </si>
  <si>
    <t>Belém de Maria</t>
  </si>
  <si>
    <t>belenense</t>
  </si>
  <si>
    <t>ROBERTO PAULO DO NASCIMENTO SILVA</t>
  </si>
  <si>
    <t>Belém do São Francisco</t>
  </si>
  <si>
    <t>CALBY DE CARVALHO CRUZ</t>
  </si>
  <si>
    <t>Belo Jardim</t>
  </si>
  <si>
    <t>belo-jardinense</t>
  </si>
  <si>
    <t>GILVANDRO ESTRELA DE OLIVEIRA</t>
  </si>
  <si>
    <t>Betânia</t>
  </si>
  <si>
    <t>betaniense</t>
  </si>
  <si>
    <t>ERIVALDO SEVERINO BEZERRA</t>
  </si>
  <si>
    <t>Bezerros</t>
  </si>
  <si>
    <t>bezerrense</t>
  </si>
  <si>
    <t>MARIA LUCIELLE SILVA LAURENTINO</t>
  </si>
  <si>
    <t>Bodocó</t>
  </si>
  <si>
    <t>bodocoense</t>
  </si>
  <si>
    <t>OTÁVIO AUGUSTO TAVARES PEDROSA CAVALCANTE</t>
  </si>
  <si>
    <t>Bom Conselho</t>
  </si>
  <si>
    <t>conselhense</t>
  </si>
  <si>
    <t>EDEZIO FERREIRA DOS SANTOS FILHO</t>
  </si>
  <si>
    <t>Bom Jardim</t>
  </si>
  <si>
    <t>bom-jardinense</t>
  </si>
  <si>
    <t>JOAO FRANCISCO DA SILVA NETO</t>
  </si>
  <si>
    <t>Bonito</t>
  </si>
  <si>
    <t>bonitense</t>
  </si>
  <si>
    <t>RUY BARBOSA</t>
  </si>
  <si>
    <t>Brejão</t>
  </si>
  <si>
    <t>brejonense</t>
  </si>
  <si>
    <t>SAULO HENRIQUE FLORENTINO DE BARROS</t>
  </si>
  <si>
    <t>Brejinho</t>
  </si>
  <si>
    <t>breijinhense</t>
  </si>
  <si>
    <t>GILSOMAR BENTO DA COSTA</t>
  </si>
  <si>
    <t>Brejo da Madre de Deus</t>
  </si>
  <si>
    <t>brejense</t>
  </si>
  <si>
    <t>ROBERTO ABRAHAM ABRAHAMIAN ASFORA</t>
  </si>
  <si>
    <t>Buenos Aires</t>
  </si>
  <si>
    <t>buenairense</t>
  </si>
  <si>
    <t>HENRIQUE JOSE QUEIROZ COSTA</t>
  </si>
  <si>
    <t>Buíque</t>
  </si>
  <si>
    <t>buiquense</t>
  </si>
  <si>
    <t>TÚLIO HENRIQUE ARAÚJO CAVALCANTI</t>
  </si>
  <si>
    <t>Cabo de Santo Agostinho</t>
  </si>
  <si>
    <t>cabense</t>
  </si>
  <si>
    <t>LUIZ CABRAL DE OLIVEIRA FILHO</t>
  </si>
  <si>
    <t>Cabrobó</t>
  </si>
  <si>
    <t>cabroboense</t>
  </si>
  <si>
    <t>ELIOENAI DIAS SANTOS FILHO</t>
  </si>
  <si>
    <t>Cachoeirinha</t>
  </si>
  <si>
    <t>cachoeirinhense</t>
  </si>
  <si>
    <t>ANDRÉ PEDRO VALENÇA DE MELO RAIMUNDO</t>
  </si>
  <si>
    <t>Caetés</t>
  </si>
  <si>
    <t>caeteense</t>
  </si>
  <si>
    <t>NIVALDO DA SILVA MARTINS</t>
  </si>
  <si>
    <t>Calçado</t>
  </si>
  <si>
    <t>calçadense</t>
  </si>
  <si>
    <t>JOSÉ ELIAS MACENA DE LIMA FILHO</t>
  </si>
  <si>
    <t>Calumbi</t>
  </si>
  <si>
    <t>calumbiense</t>
  </si>
  <si>
    <t>ERIVALDO JOSE DA SILVA</t>
  </si>
  <si>
    <t>Camaragibe</t>
  </si>
  <si>
    <t>camaragibense</t>
  </si>
  <si>
    <t>DIEGO DA ROCHA CABRAL</t>
  </si>
  <si>
    <t>Camocim de São Félix</t>
  </si>
  <si>
    <t>camociense ou camocinense</t>
  </si>
  <si>
    <t>SOSTENES RUBANO NEVES PONTES</t>
  </si>
  <si>
    <t>Camutanga</t>
  </si>
  <si>
    <t>camutanguense</t>
  </si>
  <si>
    <t>TALITA CARDOZO FONSECA</t>
  </si>
  <si>
    <t>Canhotinho</t>
  </si>
  <si>
    <t>canhotinhense</t>
  </si>
  <si>
    <t>SANDRA REJANE LOPES DE BARROS</t>
  </si>
  <si>
    <t>Capoeiras</t>
  </si>
  <si>
    <t>capoeirense</t>
  </si>
  <si>
    <t>JOAQUIM COSTA TEIXEIRA</t>
  </si>
  <si>
    <t>Carnaíba</t>
  </si>
  <si>
    <t>carnaibano</t>
  </si>
  <si>
    <t>WAMBERG ANTONIO GOMES AMARAL</t>
  </si>
  <si>
    <t>Carnaubeira da Penha</t>
  </si>
  <si>
    <t>carnaubeirense</t>
  </si>
  <si>
    <t>ELIZIO SOARES FILHO</t>
  </si>
  <si>
    <t>Carpina</t>
  </si>
  <si>
    <t>carpinense</t>
  </si>
  <si>
    <t>MARIA EDUARDA BAIMA TEIXEIRA GOUVEIA</t>
  </si>
  <si>
    <t>Caruaru</t>
  </si>
  <si>
    <t>caruaruense</t>
  </si>
  <si>
    <t>RODRIGO ANSELMO PINHEIRO DOS SANTOS</t>
  </si>
  <si>
    <t>Casinhas</t>
  </si>
  <si>
    <t>casinhense</t>
  </si>
  <si>
    <t>JULIANA BARBOSA DA SILVA AGUIAR</t>
  </si>
  <si>
    <t>Catende</t>
  </si>
  <si>
    <t>catendense</t>
  </si>
  <si>
    <t>GRACINA MARIA RAMOS BRAZ DA SILVA</t>
  </si>
  <si>
    <t>Cedro</t>
  </si>
  <si>
    <t>cedrense</t>
  </si>
  <si>
    <t>MARIA RIVA BEZERRA RODRIGUES</t>
  </si>
  <si>
    <t>Chã de Alegria</t>
  </si>
  <si>
    <t>alegriense</t>
  </si>
  <si>
    <t>MARCOS GOMES DO AMARAL</t>
  </si>
  <si>
    <t>Chã Grande</t>
  </si>
  <si>
    <t>chã-grandense</t>
  </si>
  <si>
    <t>SANDRO CORREA DOS SANTOS</t>
  </si>
  <si>
    <t>Condado</t>
  </si>
  <si>
    <t>condadense</t>
  </si>
  <si>
    <t>SEVERINO ALBINO DA SILVA FILHO</t>
  </si>
  <si>
    <t>Correntes</t>
  </si>
  <si>
    <t>correntense</t>
  </si>
  <si>
    <t>EDIMILSON DA BAHIA DE LIMA GOMES</t>
  </si>
  <si>
    <t>Cortês</t>
  </si>
  <si>
    <t>cortesense</t>
  </si>
  <si>
    <t>MARIA DE FATIMA CYSNEIROS SAMPAIO BORBA</t>
  </si>
  <si>
    <t>Cumaru</t>
  </si>
  <si>
    <t>cumaruense</t>
  </si>
  <si>
    <t>MARIA ZENEIDE MEDEIROS DA COSTA</t>
  </si>
  <si>
    <t>Cupira</t>
  </si>
  <si>
    <t>cupirense</t>
  </si>
  <si>
    <t>EDUARDO DA FONSECA LIRA</t>
  </si>
  <si>
    <t>Custódia</t>
  </si>
  <si>
    <t>custodiense</t>
  </si>
  <si>
    <t>MANOEL MESSIAS DE SOUZA</t>
  </si>
  <si>
    <t>Dormentes</t>
  </si>
  <si>
    <t>dormentense</t>
  </si>
  <si>
    <t>MARIA DO SOCORRO COELHO DE SOUSA</t>
  </si>
  <si>
    <t>Escada</t>
  </si>
  <si>
    <t>escadense</t>
  </si>
  <si>
    <t>MARIA JOSÉ FIDELIS MOURA GOUVEIA</t>
  </si>
  <si>
    <t>Exu</t>
  </si>
  <si>
    <t>exuense</t>
  </si>
  <si>
    <t>JOSÉ PINTO SARAIVA JÚNIOR</t>
  </si>
  <si>
    <t>Feira Nova</t>
  </si>
  <si>
    <t>feira-novense</t>
  </si>
  <si>
    <t>JOEL CANDIDO GONZAGA</t>
  </si>
  <si>
    <t>Fernando de Noronha</t>
  </si>
  <si>
    <t>noronhense</t>
  </si>
  <si>
    <t>GUILHERME CAVALCANTI DA ROCHA LEITÃO</t>
  </si>
  <si>
    <t>Ferreiros</t>
  </si>
  <si>
    <t>ferreirense</t>
  </si>
  <si>
    <t>JOSE ROBERTO DE OLIVEIRA</t>
  </si>
  <si>
    <t>Flores</t>
  </si>
  <si>
    <t>florense</t>
  </si>
  <si>
    <t>CICERO GILBERTO CAVALCANTI RIBEIRO</t>
  </si>
  <si>
    <t>Floresta</t>
  </si>
  <si>
    <t>florestano</t>
  </si>
  <si>
    <t>ROSANGELA DE MOURA MANIÇOBA NOVAES FERRAZ</t>
  </si>
  <si>
    <t>Frei Miguelinho</t>
  </si>
  <si>
    <t>frei-miguelinhense</t>
  </si>
  <si>
    <t>JOSÉ LINDONALDO DE FRANÇA</t>
  </si>
  <si>
    <t>Gameleira</t>
  </si>
  <si>
    <t>gameleirense</t>
  </si>
  <si>
    <t>LEANDRO RIBEIRO GOMES DE LIMA</t>
  </si>
  <si>
    <t>Garanhuns</t>
  </si>
  <si>
    <t>garanhuense</t>
  </si>
  <si>
    <t>SIVALDO RODRIGUES ALBINO</t>
  </si>
  <si>
    <t>Glória do Goitá</t>
  </si>
  <si>
    <t>gloriense</t>
  </si>
  <si>
    <t>JAIME DE LIMA GOMES SOBRINHO</t>
  </si>
  <si>
    <t>Goiana</t>
  </si>
  <si>
    <t>goianense</t>
  </si>
  <si>
    <t>EDUARDO BATISTA</t>
  </si>
  <si>
    <t>Granito</t>
  </si>
  <si>
    <t>granitense</t>
  </si>
  <si>
    <t>GEORGE WASHINGTON PEREIRA ALENCAR</t>
  </si>
  <si>
    <t>Gravatá</t>
  </si>
  <si>
    <t>gravataense</t>
  </si>
  <si>
    <t>JOSELITO GOMES DA SILVA</t>
  </si>
  <si>
    <t>Iati</t>
  </si>
  <si>
    <t>iatiense</t>
  </si>
  <si>
    <t>CAMILA APARECIDA TENORIO SOUTO DE SOUZA</t>
  </si>
  <si>
    <t>Ibimirim</t>
  </si>
  <si>
    <t>ibimiriense</t>
  </si>
  <si>
    <t>JOSÉ WELLITON DE MELO SIQUEIRA</t>
  </si>
  <si>
    <t>Ibirajuba</t>
  </si>
  <si>
    <t>ibirajubense</t>
  </si>
  <si>
    <t>MARIA IZALTA SILVA LOPES GAMA</t>
  </si>
  <si>
    <t>Igarassu</t>
  </si>
  <si>
    <t>igarassuense ou igarassuano</t>
  </si>
  <si>
    <t>ELCIONE DA SILVA RAMOS PEDROZA BARBOSA</t>
  </si>
  <si>
    <t>Iguaracy</t>
  </si>
  <si>
    <t>iguaraciense</t>
  </si>
  <si>
    <t>PEDRO ALVES DE OLIVEIRA NETO</t>
  </si>
  <si>
    <t>Inajá</t>
  </si>
  <si>
    <t>inajaense</t>
  </si>
  <si>
    <t>MARCELO MACHADO FREIRE</t>
  </si>
  <si>
    <t>Ingazeira</t>
  </si>
  <si>
    <t>ingazeirense</t>
  </si>
  <si>
    <t>LUCIANO TORRES MARTINS</t>
  </si>
  <si>
    <t>Ipojuca</t>
  </si>
  <si>
    <t>ipojuquense ou ipojucanos</t>
  </si>
  <si>
    <t>CARLOS JOSÉ DE SANTANA</t>
  </si>
  <si>
    <t>Ipubi</t>
  </si>
  <si>
    <t>ipubiense</t>
  </si>
  <si>
    <t>JOÃO MARCOS SIQUEIRA TORRES</t>
  </si>
  <si>
    <t>Itacuruba</t>
  </si>
  <si>
    <t>itacurubense</t>
  </si>
  <si>
    <t>OLEGARIO JUNIOR CANTARELLI</t>
  </si>
  <si>
    <t>Itaíba</t>
  </si>
  <si>
    <t>itaibense</t>
  </si>
  <si>
    <t>PEDRO TEOTÔNIO DA SILVA NETO</t>
  </si>
  <si>
    <t>Ilha de Itamaracá</t>
  </si>
  <si>
    <t>itamaracaense</t>
  </si>
  <si>
    <t>PAULO FERNANDO PIMENTEL GALVÃO</t>
  </si>
  <si>
    <t>Itambé</t>
  </si>
  <si>
    <t>itambeense</t>
  </si>
  <si>
    <t>ARMANDO PIMENTEL DA ROCHA</t>
  </si>
  <si>
    <t>Itapetim</t>
  </si>
  <si>
    <t>itapetinense</t>
  </si>
  <si>
    <t>ALINE KARINA ALVES DA COSTA</t>
  </si>
  <si>
    <t>Itapissuma</t>
  </si>
  <si>
    <t>itapissumense</t>
  </si>
  <si>
    <t>VALDEMIR LOURENÇO DOS SANTOS JÚNIOR</t>
  </si>
  <si>
    <t>Itaquitinga</t>
  </si>
  <si>
    <t>itaquitinguense</t>
  </si>
  <si>
    <t>PATRICK JOSE DE OLIVEIRA MORAES</t>
  </si>
  <si>
    <t>Jaboatão dos Guararapes</t>
  </si>
  <si>
    <t>jaboatãoense</t>
  </si>
  <si>
    <t>LUIZ JOSÉ INOJOSA DE MEDEIROS</t>
  </si>
  <si>
    <t>Jaqueira</t>
  </si>
  <si>
    <t>jaqueirense</t>
  </si>
  <si>
    <t>RIDETE CELLIBE PELLEGRINO DE MACEDO OLIVEIRA</t>
  </si>
  <si>
    <t>Jataúba</t>
  </si>
  <si>
    <t>jataubense</t>
  </si>
  <si>
    <t>CÁTIA JUNSARA RODRIGUES AQUILINO</t>
  </si>
  <si>
    <t>Jatobá</t>
  </si>
  <si>
    <t>jatobaense</t>
  </si>
  <si>
    <t>ROGÉRIO FERREIRA GOMES DA SILVA</t>
  </si>
  <si>
    <t>João Alfredo</t>
  </si>
  <si>
    <t>alfredense</t>
  </si>
  <si>
    <t>JOSÉ ANTONIO MARTINS DA SILVA</t>
  </si>
  <si>
    <t>Joaquim Nabuco</t>
  </si>
  <si>
    <t>nabuquense</t>
  </si>
  <si>
    <t>MARCIA ROBERTA BARRETO</t>
  </si>
  <si>
    <t>Jucati</t>
  </si>
  <si>
    <t>jucatiense</t>
  </si>
  <si>
    <t>CLELSON LUIS APARECIDO DE MELO</t>
  </si>
  <si>
    <t>Jupi</t>
  </si>
  <si>
    <t>jupiense</t>
  </si>
  <si>
    <t>RIVANDA MARIA FREIRE LIMA TEIXEIRA</t>
  </si>
  <si>
    <t>Jurema</t>
  </si>
  <si>
    <t>juremense</t>
  </si>
  <si>
    <t>EDVALDO MARCOS RAMOS FERREIRA</t>
  </si>
  <si>
    <t>Lagoa do Carro</t>
  </si>
  <si>
    <t>lagoense do carro</t>
  </si>
  <si>
    <t>JOSE LUIZ ALVES DE AMORIM</t>
  </si>
  <si>
    <t>Lagoa de Itaenga</t>
  </si>
  <si>
    <t>itaenguense</t>
  </si>
  <si>
    <t>DIMAS CAETANO DE SOUSA</t>
  </si>
  <si>
    <t>Lagoa do Ouro</t>
  </si>
  <si>
    <t>lagoa-do-ourense</t>
  </si>
  <si>
    <t>EDSON LOPES CAVALCANTE</t>
  </si>
  <si>
    <t>Lagoa dos Gatos</t>
  </si>
  <si>
    <t>lagoense</t>
  </si>
  <si>
    <t>STÊNIO FERNANDES DE ALBUQUERQUE</t>
  </si>
  <si>
    <t>Lagoa Grande</t>
  </si>
  <si>
    <t>lagoa-grandense</t>
  </si>
  <si>
    <t>ANA CATHARINA GARZIERA MORENO</t>
  </si>
  <si>
    <t>Lajedo</t>
  </si>
  <si>
    <t>lajedense</t>
  </si>
  <si>
    <t>ERIVALDO RODRIGUES AMORIM</t>
  </si>
  <si>
    <t>Limoeiro</t>
  </si>
  <si>
    <t>limoeirense</t>
  </si>
  <si>
    <t>ORLANDO JORGE PEREIRA DE ANDRADE LIMA</t>
  </si>
  <si>
    <t>Macaparana</t>
  </si>
  <si>
    <t>macaparanense</t>
  </si>
  <si>
    <t>PAULO BARBOSA DA SILVA</t>
  </si>
  <si>
    <t>Machados</t>
  </si>
  <si>
    <t>machadense</t>
  </si>
  <si>
    <t>JUAREZ RODRIGUES FERNANDES</t>
  </si>
  <si>
    <t>Manari</t>
  </si>
  <si>
    <t>manariense</t>
  </si>
  <si>
    <t>AUDALIO MARTINS DA SILVA JUNIOR</t>
  </si>
  <si>
    <t>Maraial</t>
  </si>
  <si>
    <t>maraialense</t>
  </si>
  <si>
    <t>MARLOS HENRIQUE CAVALCANTI</t>
  </si>
  <si>
    <t>Mirandiba</t>
  </si>
  <si>
    <t>mirandibense</t>
  </si>
  <si>
    <t>EVALDO BEZERRA DE CARVALHO</t>
  </si>
  <si>
    <t>Moreno</t>
  </si>
  <si>
    <t>morenense</t>
  </si>
  <si>
    <t>EDMILSON CUPERTINO DE ALMEIDA</t>
  </si>
  <si>
    <t>Nazaré da Mata</t>
  </si>
  <si>
    <t>nazareno</t>
  </si>
  <si>
    <t>ADRIANA ANDRADE LIMA VASCONCELOS COUTINHO</t>
  </si>
  <si>
    <t>Olinda</t>
  </si>
  <si>
    <t>olindense</t>
  </si>
  <si>
    <t>MIRELLA FERNANDA BEZERRA DE ALMEIDA</t>
  </si>
  <si>
    <t>Orobó</t>
  </si>
  <si>
    <t>orobense</t>
  </si>
  <si>
    <t>SEVERINO LUIZ PEREIRA DE ABREU</t>
  </si>
  <si>
    <t>Orocó</t>
  </si>
  <si>
    <t>orocoense</t>
  </si>
  <si>
    <t>ISMAEL FERNANDES BIONE LIRA</t>
  </si>
  <si>
    <t>Ouricuri</t>
  </si>
  <si>
    <t>ouricuriense</t>
  </si>
  <si>
    <t>FRANCISCO VICTOR RAMOS COELHO</t>
  </si>
  <si>
    <t>Palmares</t>
  </si>
  <si>
    <t>palmarense</t>
  </si>
  <si>
    <t>JOSÉ BARTOLOMEU DE ALMEIDA MELO JUNIOR</t>
  </si>
  <si>
    <t>Palmeirina</t>
  </si>
  <si>
    <t>palmeirinense</t>
  </si>
  <si>
    <t>THATIANNE PINTO MACEDO LIMA</t>
  </si>
  <si>
    <t>Panelas</t>
  </si>
  <si>
    <t>panelense</t>
  </si>
  <si>
    <t>RUBEN DE LIMA BARBOSA</t>
  </si>
  <si>
    <t>Paranatama</t>
  </si>
  <si>
    <t>paranatamense</t>
  </si>
  <si>
    <t>HENRIQUE DE OLIVEIRA GOIS</t>
  </si>
  <si>
    <t>Parnamirim</t>
  </si>
  <si>
    <t>parnamirinense</t>
  </si>
  <si>
    <t>LUCELIO MUCIO MOURA ANGELIM</t>
  </si>
  <si>
    <t>Passira</t>
  </si>
  <si>
    <t>passirense</t>
  </si>
  <si>
    <t>SEVERINO SILVESTRE DE ALBUQUERQUE</t>
  </si>
  <si>
    <t>Paudalho</t>
  </si>
  <si>
    <t>paudalhense</t>
  </si>
  <si>
    <t>PAULA FRASSINETTE WANDERLEY MARINHO</t>
  </si>
  <si>
    <t>Paulista</t>
  </si>
  <si>
    <t>paulistense</t>
  </si>
  <si>
    <t>SEVERINO RAMOS DE SANTANA</t>
  </si>
  <si>
    <t>Pedra</t>
  </si>
  <si>
    <t>pedrense</t>
  </si>
  <si>
    <t>GILBERTO JÚNIOR WANDERLEY VAZ</t>
  </si>
  <si>
    <t>Pesqueira</t>
  </si>
  <si>
    <t>pesqueirense</t>
  </si>
  <si>
    <t>MARCOS LUIDSON DE ARAÚJO</t>
  </si>
  <si>
    <t>Petrolândia</t>
  </si>
  <si>
    <t>petrolandense</t>
  </si>
  <si>
    <t>FABIANO JAQUES MARQUES</t>
  </si>
  <si>
    <t>Petrolina</t>
  </si>
  <si>
    <t>petrolinense</t>
  </si>
  <si>
    <t>SIMÃO AMORIM DURANDO FILHO</t>
  </si>
  <si>
    <t>Poção</t>
  </si>
  <si>
    <t>poçãoense</t>
  </si>
  <si>
    <t>JOAO GUILHERME VASCONCELOS DE SOUSA</t>
  </si>
  <si>
    <t>Pombos</t>
  </si>
  <si>
    <t>pomboense</t>
  </si>
  <si>
    <t>ELIAS BATISTA DE LIMA</t>
  </si>
  <si>
    <t>Primavera</t>
  </si>
  <si>
    <t>primaverense</t>
  </si>
  <si>
    <t>JEYSON CAVALCANTI DE ALMEIDA FALCÃO</t>
  </si>
  <si>
    <t>Quipapá</t>
  </si>
  <si>
    <t>quipapaense</t>
  </si>
  <si>
    <t>GENIVALDO TEMOTEO BEZERRA</t>
  </si>
  <si>
    <t>Quixaba</t>
  </si>
  <si>
    <t>quixabense</t>
  </si>
  <si>
    <t>JOSE PEREIRA NUNES</t>
  </si>
  <si>
    <t>Recife</t>
  </si>
  <si>
    <t>recifense</t>
  </si>
  <si>
    <t>JOÃO HENRIQUE DE ANDRADE LIMA CAMPOS</t>
  </si>
  <si>
    <t>Riacho das Almas</t>
  </si>
  <si>
    <t>riachense</t>
  </si>
  <si>
    <t>DIOCLECIO ROSENDO DE LIMA FILHO</t>
  </si>
  <si>
    <t>Ribeirão</t>
  </si>
  <si>
    <t>ribeirãoense</t>
  </si>
  <si>
    <t>ANA CAROLINA COELHO JORDÃO</t>
  </si>
  <si>
    <t>Rio Formoso</t>
  </si>
  <si>
    <t>rio-formosense</t>
  </si>
  <si>
    <t>GUTEMBERG ALEXANDRE RODRIGUES DA SILVA</t>
  </si>
  <si>
    <t>Sairé</t>
  </si>
  <si>
    <t>saireense</t>
  </si>
  <si>
    <t>GILDO PONTES DE ARRUDA</t>
  </si>
  <si>
    <t>Salgadinho</t>
  </si>
  <si>
    <t>salgadinense</t>
  </si>
  <si>
    <t>JEOSADAQUE BARBOSA SALGADO</t>
  </si>
  <si>
    <t>Salgueiro</t>
  </si>
  <si>
    <t>salgueirense</t>
  </si>
  <si>
    <t>FÁBIO LISANDRO DE LIMA BARROS</t>
  </si>
  <si>
    <t>Saloá</t>
  </si>
  <si>
    <t>saloaense</t>
  </si>
  <si>
    <t>RIVALDO ALVES DE SOUZA JUNIOR</t>
  </si>
  <si>
    <t>Sanharó</t>
  </si>
  <si>
    <t>sanharoense</t>
  </si>
  <si>
    <t>CÉSAR AUGUSTO DE FREITAS</t>
  </si>
  <si>
    <t>Santa Cruz</t>
  </si>
  <si>
    <t>santacruzense</t>
  </si>
  <si>
    <t>ADEGILDO GUIMARAES SOARES</t>
  </si>
  <si>
    <t>Santa Cruz da Baixa Verde</t>
  </si>
  <si>
    <t>ISMAEL QUINTINO LEITE DE SOUSA</t>
  </si>
  <si>
    <t>Santa Cruz do Capibaribe</t>
  </si>
  <si>
    <t>santa-cruzense</t>
  </si>
  <si>
    <t>HELIO LIMA ARAGAO FILHO</t>
  </si>
  <si>
    <t>Santa Filomena</t>
  </si>
  <si>
    <t>filomense</t>
  </si>
  <si>
    <t>PEDRO GILDEVAN COELHO MELO</t>
  </si>
  <si>
    <t>Santa Maria da Boa Vista</t>
  </si>
  <si>
    <t>boa-vistense</t>
  </si>
  <si>
    <t>GEORGE RODRIGUES DUARTE</t>
  </si>
  <si>
    <t>Santa Maria do Cambucá</t>
  </si>
  <si>
    <t>santa-mariense</t>
  </si>
  <si>
    <t>ALEX ROBEVAN DE LIMA</t>
  </si>
  <si>
    <t>Santa Terezinha</t>
  </si>
  <si>
    <t>santa-terezinhense</t>
  </si>
  <si>
    <t>ADEILSON LUSTOSA DA SILVA</t>
  </si>
  <si>
    <t>São Benedito do Sul</t>
  </si>
  <si>
    <t>são-beneditense</t>
  </si>
  <si>
    <t>JOSÉ RINALDO DE FIGUEREDO LOPES</t>
  </si>
  <si>
    <t>São Bento do Una</t>
  </si>
  <si>
    <t>são-bentense</t>
  </si>
  <si>
    <t>PEDRO ALEXANDRE MEDEIROS DE SOUZA</t>
  </si>
  <si>
    <t>São Caitano</t>
  </si>
  <si>
    <t>são-caitanense</t>
  </si>
  <si>
    <t>JOSAFA ALMEIDA LIMA</t>
  </si>
  <si>
    <t>São João</t>
  </si>
  <si>
    <t>são-joanense</t>
  </si>
  <si>
    <t>JOSE WILSON FERREIRA DE LIMA</t>
  </si>
  <si>
    <t>São Joaquim do Monte</t>
  </si>
  <si>
    <t>são-joaquinense</t>
  </si>
  <si>
    <t>EDUARDO JOSÉ DE OLIVEIRA LINS</t>
  </si>
  <si>
    <t>São José da Coroa Grande</t>
  </si>
  <si>
    <t>são-josé-coroa-grandense</t>
  </si>
  <si>
    <t>JOSÉ BARBOSA DE ANDRADE</t>
  </si>
  <si>
    <t>São José do Belmonte</t>
  </si>
  <si>
    <t>belmontense</t>
  </si>
  <si>
    <t>VINICIUS MARQUES ALVES</t>
  </si>
  <si>
    <t>São José do Egito</t>
  </si>
  <si>
    <t>egipsiense</t>
  </si>
  <si>
    <t>FREDSON HENRIQUE DE OLIVEIRA BRITO</t>
  </si>
  <si>
    <t>São Lourenço da Mata</t>
  </si>
  <si>
    <t>são-lourensense</t>
  </si>
  <si>
    <t>VINICIUS LABANCA</t>
  </si>
  <si>
    <t>São Vicente Férrer</t>
  </si>
  <si>
    <t>são-vicentino</t>
  </si>
  <si>
    <t>MARCONE VICENTE DOS SANTOS</t>
  </si>
  <si>
    <t>Serra Talhada</t>
  </si>
  <si>
    <t>serra-talhadense</t>
  </si>
  <si>
    <t>MARCIA CONRADO DE LORENA E SA ARAUJO</t>
  </si>
  <si>
    <t>Serrita</t>
  </si>
  <si>
    <t>serritense</t>
  </si>
  <si>
    <t>SEBASTIÃO BENEDITO DOS SANTOS</t>
  </si>
  <si>
    <t>Sertânia</t>
  </si>
  <si>
    <t>sertaniense</t>
  </si>
  <si>
    <t>POLLYANNA BARBOSA DE ABREU</t>
  </si>
  <si>
    <t>Sirinhaém</t>
  </si>
  <si>
    <t>sirinhaense ou sirinhadoara</t>
  </si>
  <si>
    <t>MANOEL SOARES DE SOUZA FILHO</t>
  </si>
  <si>
    <t>Moreilândia</t>
  </si>
  <si>
    <t>moreirense</t>
  </si>
  <si>
    <t>VICENTE TEIXEIRA SAMPAIO NETO</t>
  </si>
  <si>
    <t>Solidão</t>
  </si>
  <si>
    <t>solidanense</t>
  </si>
  <si>
    <t>MAYCO PABLO SANTOS ARAUJO</t>
  </si>
  <si>
    <t>Surubim</t>
  </si>
  <si>
    <t>surubinense</t>
  </si>
  <si>
    <t>CLÉBER JOSÉ DE AGUIAR DA SILVA</t>
  </si>
  <si>
    <t>Tabira</t>
  </si>
  <si>
    <t>tabirense</t>
  </si>
  <si>
    <t>FLÁVIO FERREIRA MARQUES</t>
  </si>
  <si>
    <t>Tacaimbó</t>
  </si>
  <si>
    <t>tacaimboense</t>
  </si>
  <si>
    <t>JOELDA LIMA DA SILVA PEREIRA</t>
  </si>
  <si>
    <t>Tacaratu</t>
  </si>
  <si>
    <t>tacaratuense</t>
  </si>
  <si>
    <t>WASHINGTON ANGELO DE ARAÚJO</t>
  </si>
  <si>
    <t>Tamandaré</t>
  </si>
  <si>
    <t>tamandareense</t>
  </si>
  <si>
    <t>ISAIAS HONORATO DA SILVA MARQUES</t>
  </si>
  <si>
    <t>Taquaritinga do Norte</t>
  </si>
  <si>
    <t>norte taquaritinguense</t>
  </si>
  <si>
    <t>GENIVALDO FERREIRA LINS</t>
  </si>
  <si>
    <t>Terezinha</t>
  </si>
  <si>
    <t>terezinhense</t>
  </si>
  <si>
    <t>ARNOBIO GOMES DA SILVA</t>
  </si>
  <si>
    <t>Terra Nova</t>
  </si>
  <si>
    <t>terra-novense</t>
  </si>
  <si>
    <t>ESDRAS ENILDO PIRES DE CARVALHO COELHO MORORÓ</t>
  </si>
  <si>
    <t>Timbaúba</t>
  </si>
  <si>
    <t>timbaubense</t>
  </si>
  <si>
    <t>MARINALDO ROSENDO DE ALBUQUERQUE</t>
  </si>
  <si>
    <t>Toritama</t>
  </si>
  <si>
    <t>toritamense</t>
  </si>
  <si>
    <t>SERGIO PROCOPIO COLIN DA SILVA CARVALHO</t>
  </si>
  <si>
    <t>Tracunhaém</t>
  </si>
  <si>
    <t>tracunhaense</t>
  </si>
  <si>
    <t>ALUIZIO XAVIER DA SILVA</t>
  </si>
  <si>
    <t>Trindade</t>
  </si>
  <si>
    <t>trindadense</t>
  </si>
  <si>
    <t>HELBE DA SILVA RODRIGUES NASCIMENTO</t>
  </si>
  <si>
    <t>Triunfo</t>
  </si>
  <si>
    <t>triunfense</t>
  </si>
  <si>
    <t>LUCIANO FERNANDO DE SOUSA</t>
  </si>
  <si>
    <t>Tupanatinga</t>
  </si>
  <si>
    <t>tupanatinguense</t>
  </si>
  <si>
    <t>JOSÉ RONALDO DA SILVA</t>
  </si>
  <si>
    <t>Tuparetama</t>
  </si>
  <si>
    <t>tuparetamense</t>
  </si>
  <si>
    <t>DIÓGENES TORRES DA COSTA PATRIOTA</t>
  </si>
  <si>
    <t>Venturosa</t>
  </si>
  <si>
    <t>venturosense</t>
  </si>
  <si>
    <t>KELVIN DOUGLAS CAVALCANTI ALMEIDA</t>
  </si>
  <si>
    <t>Verdejante</t>
  </si>
  <si>
    <t>verdejantense</t>
  </si>
  <si>
    <t>FRANCISCO DE ASSIS TAVARES FILHO</t>
  </si>
  <si>
    <t>Vertente do Lério</t>
  </si>
  <si>
    <t>vertentense do lério</t>
  </si>
  <si>
    <t>HISTÊNIO JÚNIOR DA SILVA SALES</t>
  </si>
  <si>
    <t>Vertentes</t>
  </si>
  <si>
    <t>vertentense</t>
  </si>
  <si>
    <t>ISRAEL FERREIRA DE ANDRADE</t>
  </si>
  <si>
    <t>Vicência</t>
  </si>
  <si>
    <t>vicenciense</t>
  </si>
  <si>
    <t>EDER WALTTER JOSÉ DE OLIVEIRA SILVA</t>
  </si>
  <si>
    <t>Vitória de Santo Antão</t>
  </si>
  <si>
    <t>vitoriense</t>
  </si>
  <si>
    <t>PAULO ROBERTO LEITE DE ARRUDA</t>
  </si>
  <si>
    <t>Xexéu</t>
  </si>
  <si>
    <t>xexeuense</t>
  </si>
  <si>
    <t>THIAGO GONÇALVES DE LIMA</t>
  </si>
  <si>
    <t>Resultado Fiscal</t>
  </si>
  <si>
    <t>Eficiência Fiscal</t>
  </si>
  <si>
    <t>Receita Per Capita</t>
  </si>
  <si>
    <t>IDHM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</si>
</sst>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R$&quot;\ #,##0.00;\-&quot;R$&quot;\ #,##0.00"/>
    <numFmt numFmtId="164" formatCode="&quot;R$&quot;\ #,##0.00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7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&quot;R$&quot;\ #,##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3:R188" totalsRowShown="0">
  <autoFilter ref="A3:R188"/>
  <tableColumns count="18">
    <tableColumn id="1" name="Município [-]"/>
    <tableColumn id="2" name="Código [-]"/>
    <tableColumn id="3" name="Gentílico [-]"/>
    <tableColumn id="4" name="Prefeito [2025]"/>
    <tableColumn id="5" name="Área Territorial - km² [2024]"/>
    <tableColumn id="6" name="População no último censo - pessoas [2022]"/>
    <tableColumn id="7" name="Densidade demográfica - hab/km² [2022]"/>
    <tableColumn id="8" name="População estimada - pessoas [2025]"/>
    <tableColumn id="9" name="Escolarização &lt;span&gt;6 a 14 anos&lt;/span&gt; - % [2022]"/>
    <tableColumn id="10" name="IDHM &lt;span&gt;Índice de desenvolvimento humano municipal&lt;/span&gt; [2010]"/>
    <tableColumn id="11" name="Mortalidade infantil - óbitos por mil nascidos vivos [2023]"/>
    <tableColumn id="12" name="Total de receitas brutas realizadas - R$ [2024]"/>
    <tableColumn id="13" name="Total de despesas brutas empenhadas - R$ [2024]"/>
    <tableColumn id="14" name="PIB per capita - R$ [2021]"/>
    <tableColumn id="15" name="Resultado Fiscal" dataDxfId="3">
      <calculatedColumnFormula>Tabela1[[#This Row],[Total de receitas brutas realizadas - R$ '[2024']]]-Tabela1[[#This Row],[Total de despesas brutas empenhadas - R$ '[2024']]]</calculatedColumnFormula>
    </tableColumn>
    <tableColumn id="16" name="Eficiência Fiscal" dataDxfId="2">
      <calculatedColumnFormula>(Tabela1[[#This Row],[Total de receitas brutas realizadas - R$ '[2024']]]-Tabela1[[#This Row],[Total de despesas brutas empenhadas - R$ '[2024']]])/Tabela1[[#This Row],[População estimada - pessoas '[2025']]]</calculatedColumnFormula>
    </tableColumn>
    <tableColumn id="17" name="Receita Per Capita" dataDxfId="1">
      <calculatedColumnFormula>Tabela1[[#This Row],[Total de receitas brutas realizadas - R$ '[2024']]]/Tabela1[[#This Row],[População estimada - pessoas '[2025']]]</calculatedColumnFormula>
    </tableColumn>
    <tableColumn id="18" name="IDHM" dataDxfId="0">
      <calculatedColumnFormula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8"/>
  <sheetViews>
    <sheetView tabSelected="1" zoomScale="78" workbookViewId="0">
      <selection activeCell="D2" sqref="D2"/>
    </sheetView>
  </sheetViews>
  <sheetFormatPr defaultRowHeight="15" x14ac:dyDescent="0.25"/>
  <cols>
    <col min="1" max="1" width="14.7109375" customWidth="1"/>
    <col min="2" max="2" width="11.85546875" customWidth="1"/>
    <col min="3" max="3" width="13.85546875" customWidth="1"/>
    <col min="4" max="4" width="16.28515625" customWidth="1"/>
    <col min="5" max="5" width="27.42578125" customWidth="1"/>
    <col min="6" max="6" width="41.28515625" customWidth="1"/>
    <col min="7" max="7" width="39" customWidth="1"/>
    <col min="8" max="8" width="35.28515625" customWidth="1"/>
    <col min="9" max="9" width="46.7109375" customWidth="1"/>
    <col min="10" max="10" width="68.5703125" customWidth="1"/>
    <col min="11" max="11" width="53.7109375" customWidth="1"/>
    <col min="12" max="12" width="42.5703125" customWidth="1"/>
    <col min="13" max="13" width="46.28515625" customWidth="1"/>
    <col min="14" max="14" width="24.7109375" customWidth="1"/>
    <col min="15" max="15" width="22.85546875" customWidth="1"/>
    <col min="16" max="16" width="26.140625" customWidth="1"/>
    <col min="17" max="17" width="19.28515625" customWidth="1"/>
    <col min="18" max="18" width="18.28515625" customWidth="1"/>
  </cols>
  <sheetData>
    <row r="1" spans="1:18" x14ac:dyDescent="0.25">
      <c r="A1" t="s">
        <v>0</v>
      </c>
    </row>
    <row r="3" spans="1:1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s="2" t="s">
        <v>569</v>
      </c>
      <c r="P3" s="2" t="s">
        <v>570</v>
      </c>
      <c r="Q3" s="2" t="s">
        <v>571</v>
      </c>
      <c r="R3" s="2" t="s">
        <v>572</v>
      </c>
    </row>
    <row r="4" spans="1:18" x14ac:dyDescent="0.25">
      <c r="A4" t="s">
        <v>15</v>
      </c>
      <c r="B4">
        <v>2600054</v>
      </c>
      <c r="C4" t="s">
        <v>16</v>
      </c>
      <c r="D4" t="s">
        <v>17</v>
      </c>
      <c r="E4">
        <v>126.384</v>
      </c>
      <c r="F4">
        <v>98462</v>
      </c>
      <c r="G4">
        <v>779.07</v>
      </c>
      <c r="H4">
        <v>104248</v>
      </c>
      <c r="I4">
        <v>99.09</v>
      </c>
      <c r="J4">
        <v>0.67900000000000005</v>
      </c>
      <c r="K4">
        <v>10.53</v>
      </c>
      <c r="L4" s="1">
        <v>311889181.41000003</v>
      </c>
      <c r="M4" s="1">
        <v>308152744.45999998</v>
      </c>
      <c r="N4" s="1">
        <v>17123.060000000001</v>
      </c>
      <c r="O4" s="3">
        <f>Tabela1[[#This Row],[Total de receitas brutas realizadas - R$ '[2024']]]-Tabela1[[#This Row],[Total de despesas brutas empenhadas - R$ '[2024']]]</f>
        <v>3736436.9500000477</v>
      </c>
      <c r="P4" s="1">
        <f>(Tabela1[[#This Row],[Total de receitas brutas realizadas - R$ '[2024']]]-Tabela1[[#This Row],[Total de despesas brutas empenhadas - R$ '[2024']]])/Tabela1[[#This Row],[População estimada - pessoas '[2025']]]</f>
        <v>35.841809435193461</v>
      </c>
      <c r="Q4" s="1">
        <f>Tabela1[[#This Row],[Total de receitas brutas realizadas - R$ '[2024']]]/Tabela1[[#This Row],[População estimada - pessoas '[2025']]]</f>
        <v>2991.800143983578</v>
      </c>
      <c r="R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5" spans="1:18" x14ac:dyDescent="0.25">
      <c r="A5" t="s">
        <v>18</v>
      </c>
      <c r="B5">
        <v>2600104</v>
      </c>
      <c r="C5" t="s">
        <v>19</v>
      </c>
      <c r="D5" t="s">
        <v>20</v>
      </c>
      <c r="E5">
        <v>378.03100000000001</v>
      </c>
      <c r="F5">
        <v>40241</v>
      </c>
      <c r="G5">
        <v>106.54</v>
      </c>
      <c r="H5">
        <v>42672</v>
      </c>
      <c r="I5">
        <v>98.39</v>
      </c>
      <c r="J5">
        <v>0.65700000000000003</v>
      </c>
      <c r="K5">
        <v>24.69</v>
      </c>
      <c r="L5" s="1">
        <v>216067853.44</v>
      </c>
      <c r="M5" s="1">
        <v>214470901.08000001</v>
      </c>
      <c r="N5" s="1">
        <v>14430.74</v>
      </c>
      <c r="O5" s="3">
        <f>Tabela1[[#This Row],[Total de receitas brutas realizadas - R$ '[2024']]]-Tabela1[[#This Row],[Total de despesas brutas empenhadas - R$ '[2024']]]</f>
        <v>1596952.3599999845</v>
      </c>
      <c r="P5" s="1">
        <f>(Tabela1[[#This Row],[Total de receitas brutas realizadas - R$ '[2024']]]-Tabela1[[#This Row],[Total de despesas brutas empenhadas - R$ '[2024']]])/Tabela1[[#This Row],[População estimada - pessoas '[2025']]]</f>
        <v>37.423892950880777</v>
      </c>
      <c r="Q5" s="1">
        <f>Tabela1[[#This Row],[Total de receitas brutas realizadas - R$ '[2024']]]/Tabela1[[#This Row],[População estimada - pessoas '[2025']]]</f>
        <v>5063.4573828271468</v>
      </c>
      <c r="R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6" spans="1:18" x14ac:dyDescent="0.25">
      <c r="A6" t="s">
        <v>21</v>
      </c>
      <c r="B6">
        <v>2600203</v>
      </c>
      <c r="C6" t="s">
        <v>22</v>
      </c>
      <c r="D6" t="s">
        <v>23</v>
      </c>
      <c r="E6">
        <v>1490.5940000000001</v>
      </c>
      <c r="F6">
        <v>18674</v>
      </c>
      <c r="G6">
        <v>12.53</v>
      </c>
      <c r="H6">
        <v>19409</v>
      </c>
      <c r="I6">
        <v>98.98</v>
      </c>
      <c r="J6">
        <v>0.58799999999999997</v>
      </c>
      <c r="K6" t="s">
        <v>24</v>
      </c>
      <c r="L6" s="1">
        <v>124421894.02</v>
      </c>
      <c r="M6" s="1">
        <v>109062254.79000001</v>
      </c>
      <c r="N6" s="1">
        <v>10500.7</v>
      </c>
      <c r="O6" s="3">
        <f>Tabela1[[#This Row],[Total de receitas brutas realizadas - R$ '[2024']]]-Tabela1[[#This Row],[Total de despesas brutas empenhadas - R$ '[2024']]]</f>
        <v>15359639.229999989</v>
      </c>
      <c r="P6" s="1">
        <f>(Tabela1[[#This Row],[Total de receitas brutas realizadas - R$ '[2024']]]-Tabela1[[#This Row],[Total de despesas brutas empenhadas - R$ '[2024']]])/Tabela1[[#This Row],[População estimada - pessoas '[2025']]]</f>
        <v>791.3668519758869</v>
      </c>
      <c r="Q6" s="1">
        <f>Tabela1[[#This Row],[Total de receitas brutas realizadas - R$ '[2024']]]/Tabela1[[#This Row],[População estimada - pessoas '[2025']]]</f>
        <v>6410.5257365139878</v>
      </c>
      <c r="R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7" spans="1:18" x14ac:dyDescent="0.25">
      <c r="A7" t="s">
        <v>25</v>
      </c>
      <c r="B7">
        <v>2600302</v>
      </c>
      <c r="C7" t="s">
        <v>26</v>
      </c>
      <c r="D7" t="s">
        <v>27</v>
      </c>
      <c r="E7">
        <v>200.369</v>
      </c>
      <c r="F7">
        <v>23779</v>
      </c>
      <c r="G7">
        <v>118.68</v>
      </c>
      <c r="H7">
        <v>24680</v>
      </c>
      <c r="I7">
        <v>99.31</v>
      </c>
      <c r="J7">
        <v>0.59199999999999997</v>
      </c>
      <c r="K7">
        <v>10.61</v>
      </c>
      <c r="L7" s="1">
        <v>137251224.34</v>
      </c>
      <c r="M7" s="1">
        <v>127036997.95999999</v>
      </c>
      <c r="N7" s="1">
        <v>13980.13</v>
      </c>
      <c r="O7" s="3">
        <f>Tabela1[[#This Row],[Total de receitas brutas realizadas - R$ '[2024']]]-Tabela1[[#This Row],[Total de despesas brutas empenhadas - R$ '[2024']]]</f>
        <v>10214226.38000001</v>
      </c>
      <c r="P7" s="1">
        <f>(Tabela1[[#This Row],[Total de receitas brutas realizadas - R$ '[2024']]]-Tabela1[[#This Row],[Total de despesas brutas empenhadas - R$ '[2024']]])/Tabela1[[#This Row],[População estimada - pessoas '[2025']]]</f>
        <v>413.86654700162114</v>
      </c>
      <c r="Q7" s="1">
        <f>Tabela1[[#This Row],[Total de receitas brutas realizadas - R$ '[2024']]]/Tabela1[[#This Row],[População estimada - pessoas '[2025']]]</f>
        <v>5561.2327528363048</v>
      </c>
      <c r="R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" spans="1:18" x14ac:dyDescent="0.25">
      <c r="A8" t="s">
        <v>28</v>
      </c>
      <c r="B8">
        <v>2600401</v>
      </c>
      <c r="C8" t="s">
        <v>29</v>
      </c>
      <c r="D8" t="s">
        <v>30</v>
      </c>
      <c r="E8">
        <v>531.93499999999995</v>
      </c>
      <c r="F8">
        <v>26461</v>
      </c>
      <c r="G8">
        <v>49.74</v>
      </c>
      <c r="H8">
        <v>26981</v>
      </c>
      <c r="I8">
        <v>99.06</v>
      </c>
      <c r="J8">
        <v>0.55300000000000005</v>
      </c>
      <c r="K8">
        <v>11.49</v>
      </c>
      <c r="L8" s="1">
        <v>146333568.97999999</v>
      </c>
      <c r="M8" s="1">
        <v>137676911.83000001</v>
      </c>
      <c r="N8" s="1">
        <v>6950.9</v>
      </c>
      <c r="O8" s="3">
        <f>Tabela1[[#This Row],[Total de receitas brutas realizadas - R$ '[2024']]]-Tabela1[[#This Row],[Total de despesas brutas empenhadas - R$ '[2024']]]</f>
        <v>8656657.1499999762</v>
      </c>
      <c r="P8" s="1">
        <f>(Tabela1[[#This Row],[Total de receitas brutas realizadas - R$ '[2024']]]-Tabela1[[#This Row],[Total de despesas brutas empenhadas - R$ '[2024']]])/Tabela1[[#This Row],[População estimada - pessoas '[2025']]]</f>
        <v>320.84270968459197</v>
      </c>
      <c r="Q8" s="1">
        <f>Tabela1[[#This Row],[Total de receitas brutas realizadas - R$ '[2024']]]/Tabela1[[#This Row],[População estimada - pessoas '[2025']]]</f>
        <v>5423.5784062859047</v>
      </c>
      <c r="R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" spans="1:18" x14ac:dyDescent="0.25">
      <c r="A9" t="s">
        <v>31</v>
      </c>
      <c r="B9">
        <v>2600500</v>
      </c>
      <c r="C9" t="s">
        <v>32</v>
      </c>
      <c r="D9" t="s">
        <v>33</v>
      </c>
      <c r="E9">
        <v>885.98800000000006</v>
      </c>
      <c r="F9">
        <v>41548</v>
      </c>
      <c r="G9">
        <v>46.89</v>
      </c>
      <c r="H9">
        <v>43822</v>
      </c>
      <c r="I9">
        <v>97.99</v>
      </c>
      <c r="J9">
        <v>0.52600000000000002</v>
      </c>
      <c r="K9">
        <v>15.92</v>
      </c>
      <c r="L9" s="1">
        <v>213671440.06</v>
      </c>
      <c r="M9" s="1">
        <v>219542289.72999999</v>
      </c>
      <c r="N9" s="1">
        <v>9132.1299999999992</v>
      </c>
      <c r="O9" s="3">
        <f>Tabela1[[#This Row],[Total de receitas brutas realizadas - R$ '[2024']]]-Tabela1[[#This Row],[Total de despesas brutas empenhadas - R$ '[2024']]]</f>
        <v>-5870849.6699999869</v>
      </c>
      <c r="P9" s="1">
        <f>(Tabela1[[#This Row],[Total de receitas brutas realizadas - R$ '[2024']]]-Tabela1[[#This Row],[Total de despesas brutas empenhadas - R$ '[2024']]])/Tabela1[[#This Row],[População estimada - pessoas '[2025']]]</f>
        <v>-133.9703726438772</v>
      </c>
      <c r="Q9" s="1">
        <f>Tabela1[[#This Row],[Total de receitas brutas realizadas - R$ '[2024']]]/Tabela1[[#This Row],[População estimada - pessoas '[2025']]]</f>
        <v>4875.894301036009</v>
      </c>
      <c r="R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0" spans="1:18" x14ac:dyDescent="0.25">
      <c r="A10" t="s">
        <v>34</v>
      </c>
      <c r="B10">
        <v>2600609</v>
      </c>
      <c r="C10" t="s">
        <v>35</v>
      </c>
      <c r="D10" t="s">
        <v>36</v>
      </c>
      <c r="E10">
        <v>208.149</v>
      </c>
      <c r="F10">
        <v>13542</v>
      </c>
      <c r="G10">
        <v>63.2</v>
      </c>
      <c r="H10">
        <v>14460</v>
      </c>
      <c r="I10">
        <v>98.25</v>
      </c>
      <c r="J10">
        <v>0.59899999999999998</v>
      </c>
      <c r="K10">
        <v>29.13</v>
      </c>
      <c r="L10" s="1">
        <v>80879965.849999994</v>
      </c>
      <c r="M10" s="1">
        <v>77108674.969999999</v>
      </c>
      <c r="N10" s="1">
        <v>9794.9</v>
      </c>
      <c r="O10" s="3">
        <f>Tabela1[[#This Row],[Total de receitas brutas realizadas - R$ '[2024']]]-Tabela1[[#This Row],[Total de despesas brutas empenhadas - R$ '[2024']]]</f>
        <v>3771290.8799999952</v>
      </c>
      <c r="P10" s="1">
        <f>(Tabela1[[#This Row],[Total de receitas brutas realizadas - R$ '[2024']]]-Tabela1[[#This Row],[Total de despesas brutas empenhadas - R$ '[2024']]])/Tabela1[[#This Row],[População estimada - pessoas '[2025']]]</f>
        <v>260.80849792531086</v>
      </c>
      <c r="Q10" s="1">
        <f>Tabela1[[#This Row],[Total de receitas brutas realizadas - R$ '[2024']]]/Tabela1[[#This Row],[População estimada - pessoas '[2025']]]</f>
        <v>5593.3586341632081</v>
      </c>
      <c r="R1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1" spans="1:18" x14ac:dyDescent="0.25">
      <c r="A11" t="s">
        <v>37</v>
      </c>
      <c r="B11">
        <v>2600708</v>
      </c>
      <c r="C11" t="s">
        <v>38</v>
      </c>
      <c r="D11" t="s">
        <v>39</v>
      </c>
      <c r="E11">
        <v>272.77300000000002</v>
      </c>
      <c r="F11">
        <v>35741</v>
      </c>
      <c r="G11">
        <v>131.03</v>
      </c>
      <c r="H11">
        <v>37349</v>
      </c>
      <c r="I11">
        <v>98.77</v>
      </c>
      <c r="J11">
        <v>0.60399999999999998</v>
      </c>
      <c r="K11">
        <v>4.0999999999999996</v>
      </c>
      <c r="L11" s="1">
        <v>165520984.88</v>
      </c>
      <c r="M11" s="1">
        <v>175846722.49000001</v>
      </c>
      <c r="N11" s="1">
        <v>10761.16</v>
      </c>
      <c r="O11" s="3">
        <f>Tabela1[[#This Row],[Total de receitas brutas realizadas - R$ '[2024']]]-Tabela1[[#This Row],[Total de despesas brutas empenhadas - R$ '[2024']]]</f>
        <v>-10325737.610000014</v>
      </c>
      <c r="P11" s="1">
        <f>(Tabela1[[#This Row],[Total de receitas brutas realizadas - R$ '[2024']]]-Tabela1[[#This Row],[Total de despesas brutas empenhadas - R$ '[2024']]])/Tabela1[[#This Row],[População estimada - pessoas '[2025']]]</f>
        <v>-276.46624032772002</v>
      </c>
      <c r="Q11" s="1">
        <f>Tabela1[[#This Row],[Total de receitas brutas realizadas - R$ '[2024']]]/Tabela1[[#This Row],[População estimada - pessoas '[2025']]]</f>
        <v>4431.7380620632412</v>
      </c>
      <c r="R1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2" spans="1:18" x14ac:dyDescent="0.25">
      <c r="A12" t="s">
        <v>40</v>
      </c>
      <c r="B12">
        <v>2600807</v>
      </c>
      <c r="C12" t="s">
        <v>41</v>
      </c>
      <c r="D12" t="s">
        <v>42</v>
      </c>
      <c r="E12">
        <v>450.178</v>
      </c>
      <c r="F12">
        <v>20674</v>
      </c>
      <c r="G12">
        <v>45.92</v>
      </c>
      <c r="H12">
        <v>21134</v>
      </c>
      <c r="I12">
        <v>99.7</v>
      </c>
      <c r="J12">
        <v>0.59799999999999998</v>
      </c>
      <c r="K12">
        <v>8.1999999999999993</v>
      </c>
      <c r="L12" s="1">
        <v>100081074.40000001</v>
      </c>
      <c r="M12" s="1">
        <v>98054265.5</v>
      </c>
      <c r="N12" s="1">
        <v>9679.4599999999991</v>
      </c>
      <c r="O12" s="3">
        <f>Tabela1[[#This Row],[Total de receitas brutas realizadas - R$ '[2024']]]-Tabela1[[#This Row],[Total de despesas brutas empenhadas - R$ '[2024']]]</f>
        <v>2026808.900000006</v>
      </c>
      <c r="P12" s="1">
        <f>(Tabela1[[#This Row],[Total de receitas brutas realizadas - R$ '[2024']]]-Tabela1[[#This Row],[Total de despesas brutas empenhadas - R$ '[2024']]])/Tabela1[[#This Row],[População estimada - pessoas '[2025']]]</f>
        <v>95.902758588057438</v>
      </c>
      <c r="Q12" s="1">
        <f>Tabela1[[#This Row],[Total de receitas brutas realizadas - R$ '[2024']]]/Tabela1[[#This Row],[População estimada - pessoas '[2025']]]</f>
        <v>4735.5481404372103</v>
      </c>
      <c r="R1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3" spans="1:18" x14ac:dyDescent="0.25">
      <c r="A13" t="s">
        <v>43</v>
      </c>
      <c r="B13">
        <v>2600906</v>
      </c>
      <c r="C13" t="s">
        <v>44</v>
      </c>
      <c r="D13" t="s">
        <v>45</v>
      </c>
      <c r="E13">
        <v>233.239</v>
      </c>
      <c r="F13">
        <v>18205</v>
      </c>
      <c r="G13">
        <v>78.05</v>
      </c>
      <c r="H13">
        <v>18335</v>
      </c>
      <c r="I13">
        <v>99.43</v>
      </c>
      <c r="J13">
        <v>0.57999999999999996</v>
      </c>
      <c r="K13">
        <v>7.63</v>
      </c>
      <c r="L13" s="1">
        <v>99650694.25</v>
      </c>
      <c r="M13" s="1">
        <v>97710533.420000002</v>
      </c>
      <c r="N13" s="1">
        <v>12850.59</v>
      </c>
      <c r="O13" s="3">
        <f>Tabela1[[#This Row],[Total de receitas brutas realizadas - R$ '[2024']]]-Tabela1[[#This Row],[Total de despesas brutas empenhadas - R$ '[2024']]]</f>
        <v>1940160.8299999982</v>
      </c>
      <c r="P13" s="1">
        <f>(Tabela1[[#This Row],[Total de receitas brutas realizadas - R$ '[2024']]]-Tabela1[[#This Row],[Total de despesas brutas empenhadas - R$ '[2024']]])/Tabela1[[#This Row],[População estimada - pessoas '[2025']]]</f>
        <v>105.81733460594482</v>
      </c>
      <c r="Q13" s="1">
        <f>Tabela1[[#This Row],[Total de receitas brutas realizadas - R$ '[2024']]]/Tabela1[[#This Row],[População estimada - pessoas '[2025']]]</f>
        <v>5434.9983228797382</v>
      </c>
      <c r="R1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4" spans="1:18" x14ac:dyDescent="0.25">
      <c r="A14" t="s">
        <v>46</v>
      </c>
      <c r="B14">
        <v>2601003</v>
      </c>
      <c r="C14" t="s">
        <v>47</v>
      </c>
      <c r="D14" t="s">
        <v>48</v>
      </c>
      <c r="E14">
        <v>118.72</v>
      </c>
      <c r="F14">
        <v>10241</v>
      </c>
      <c r="G14">
        <v>86.72</v>
      </c>
      <c r="H14">
        <v>10591</v>
      </c>
      <c r="I14">
        <v>97.9</v>
      </c>
      <c r="J14">
        <v>0.57199999999999995</v>
      </c>
      <c r="K14">
        <v>21.13</v>
      </c>
      <c r="L14" s="1">
        <v>69165440.450000003</v>
      </c>
      <c r="M14" s="1">
        <v>66935433.740000002</v>
      </c>
      <c r="N14" s="1">
        <v>12588.25</v>
      </c>
      <c r="O14" s="3">
        <f>Tabela1[[#This Row],[Total de receitas brutas realizadas - R$ '[2024']]]-Tabela1[[#This Row],[Total de despesas brutas empenhadas - R$ '[2024']]]</f>
        <v>2230006.7100000009</v>
      </c>
      <c r="P14" s="1">
        <f>(Tabela1[[#This Row],[Total de receitas brutas realizadas - R$ '[2024']]]-Tabela1[[#This Row],[Total de despesas brutas empenhadas - R$ '[2024']]])/Tabela1[[#This Row],[População estimada - pessoas '[2025']]]</f>
        <v>210.55676612217928</v>
      </c>
      <c r="Q14" s="1">
        <f>Tabela1[[#This Row],[Total de receitas brutas realizadas - R$ '[2024']]]/Tabela1[[#This Row],[População estimada - pessoas '[2025']]]</f>
        <v>6530.5863893872156</v>
      </c>
      <c r="R1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" spans="1:18" x14ac:dyDescent="0.25">
      <c r="A15" t="s">
        <v>49</v>
      </c>
      <c r="B15">
        <v>2601052</v>
      </c>
      <c r="C15" t="s">
        <v>50</v>
      </c>
      <c r="D15" t="s">
        <v>51</v>
      </c>
      <c r="E15">
        <v>96.36</v>
      </c>
      <c r="F15">
        <v>19243</v>
      </c>
      <c r="G15">
        <v>199.7</v>
      </c>
      <c r="H15">
        <v>19996</v>
      </c>
      <c r="I15">
        <v>98.36</v>
      </c>
      <c r="J15">
        <v>0.59199999999999997</v>
      </c>
      <c r="K15">
        <v>10.95</v>
      </c>
      <c r="L15" s="1">
        <v>111568944.31</v>
      </c>
      <c r="M15" s="1">
        <v>104519676.05</v>
      </c>
      <c r="N15" s="1">
        <v>7732.35</v>
      </c>
      <c r="O15" s="3">
        <f>Tabela1[[#This Row],[Total de receitas brutas realizadas - R$ '[2024']]]-Tabela1[[#This Row],[Total de despesas brutas empenhadas - R$ '[2024']]]</f>
        <v>7049268.2600000054</v>
      </c>
      <c r="P15" s="1">
        <f>(Tabela1[[#This Row],[Total de receitas brutas realizadas - R$ '[2024']]]-Tabela1[[#This Row],[Total de despesas brutas empenhadas - R$ '[2024']]])/Tabela1[[#This Row],[População estimada - pessoas '[2025']]]</f>
        <v>352.53391978395706</v>
      </c>
      <c r="Q15" s="1">
        <f>Tabela1[[#This Row],[Total de receitas brutas realizadas - R$ '[2024']]]/Tabela1[[#This Row],[População estimada - pessoas '[2025']]]</f>
        <v>5579.5631281256256</v>
      </c>
      <c r="R1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6" spans="1:18" x14ac:dyDescent="0.25">
      <c r="A16" t="s">
        <v>52</v>
      </c>
      <c r="B16">
        <v>2601102</v>
      </c>
      <c r="C16" t="s">
        <v>53</v>
      </c>
      <c r="D16" t="s">
        <v>54</v>
      </c>
      <c r="E16">
        <v>2037.394</v>
      </c>
      <c r="F16">
        <v>85088</v>
      </c>
      <c r="G16">
        <v>41.76</v>
      </c>
      <c r="H16">
        <v>90504</v>
      </c>
      <c r="I16">
        <v>97.68</v>
      </c>
      <c r="J16">
        <v>0.60199999999999998</v>
      </c>
      <c r="K16">
        <v>11.38</v>
      </c>
      <c r="L16" s="1">
        <v>377202550.75999999</v>
      </c>
      <c r="M16" s="1">
        <v>399934864.26999998</v>
      </c>
      <c r="N16" s="1">
        <v>14912.98</v>
      </c>
      <c r="O16" s="3">
        <f>Tabela1[[#This Row],[Total de receitas brutas realizadas - R$ '[2024']]]-Tabela1[[#This Row],[Total de despesas brutas empenhadas - R$ '[2024']]]</f>
        <v>-22732313.50999999</v>
      </c>
      <c r="P16" s="1">
        <f>(Tabela1[[#This Row],[Total de receitas brutas realizadas - R$ '[2024']]]-Tabela1[[#This Row],[Total de despesas brutas empenhadas - R$ '[2024']]])/Tabela1[[#This Row],[População estimada - pessoas '[2025']]]</f>
        <v>-251.17468299743646</v>
      </c>
      <c r="Q16" s="1">
        <f>Tabela1[[#This Row],[Total de receitas brutas realizadas - R$ '[2024']]]/Tabela1[[#This Row],[População estimada - pessoas '[2025']]]</f>
        <v>4167.7997741536283</v>
      </c>
      <c r="R1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7" spans="1:18" x14ac:dyDescent="0.25">
      <c r="A17" t="s">
        <v>55</v>
      </c>
      <c r="B17">
        <v>2601201</v>
      </c>
      <c r="C17" t="s">
        <v>56</v>
      </c>
      <c r="D17" t="s">
        <v>57</v>
      </c>
      <c r="E17">
        <v>343.923</v>
      </c>
      <c r="F17">
        <v>77742</v>
      </c>
      <c r="G17">
        <v>226.04</v>
      </c>
      <c r="H17">
        <v>82487</v>
      </c>
      <c r="I17">
        <v>99.12</v>
      </c>
      <c r="J17">
        <v>0.66700000000000004</v>
      </c>
      <c r="K17">
        <v>11.7</v>
      </c>
      <c r="L17" s="1">
        <v>327484071</v>
      </c>
      <c r="M17" s="1">
        <v>317259552.36000001</v>
      </c>
      <c r="N17" s="1">
        <v>16141.61</v>
      </c>
      <c r="O17" s="3">
        <f>Tabela1[[#This Row],[Total de receitas brutas realizadas - R$ '[2024']]]-Tabela1[[#This Row],[Total de despesas brutas empenhadas - R$ '[2024']]]</f>
        <v>10224518.639999986</v>
      </c>
      <c r="P17" s="1">
        <f>(Tabela1[[#This Row],[Total de receitas brutas realizadas - R$ '[2024']]]-Tabela1[[#This Row],[Total de despesas brutas empenhadas - R$ '[2024']]])/Tabela1[[#This Row],[População estimada - pessoas '[2025']]]</f>
        <v>123.95309127498861</v>
      </c>
      <c r="Q17" s="1">
        <f>Tabela1[[#This Row],[Total de receitas brutas realizadas - R$ '[2024']]]/Tabela1[[#This Row],[População estimada - pessoas '[2025']]]</f>
        <v>3970.1294870706897</v>
      </c>
      <c r="R1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8" spans="1:18" x14ac:dyDescent="0.25">
      <c r="A18" t="s">
        <v>58</v>
      </c>
      <c r="B18">
        <v>2601300</v>
      </c>
      <c r="C18" t="s">
        <v>59</v>
      </c>
      <c r="D18" t="s">
        <v>60</v>
      </c>
      <c r="E18">
        <v>118.639</v>
      </c>
      <c r="F18">
        <v>12263</v>
      </c>
      <c r="G18">
        <v>103.36</v>
      </c>
      <c r="H18">
        <v>12601</v>
      </c>
      <c r="I18">
        <v>97.48</v>
      </c>
      <c r="J18">
        <v>0.57699999999999996</v>
      </c>
      <c r="K18" t="s">
        <v>24</v>
      </c>
      <c r="L18" s="1">
        <v>82802652.680000007</v>
      </c>
      <c r="M18" s="1">
        <v>72981696.670000002</v>
      </c>
      <c r="N18" s="1">
        <v>10042.58</v>
      </c>
      <c r="O18" s="3">
        <f>Tabela1[[#This Row],[Total de receitas brutas realizadas - R$ '[2024']]]-Tabela1[[#This Row],[Total de despesas brutas empenhadas - R$ '[2024']]]</f>
        <v>9820956.0100000054</v>
      </c>
      <c r="P18" s="1">
        <f>(Tabela1[[#This Row],[Total de receitas brutas realizadas - R$ '[2024']]]-Tabela1[[#This Row],[Total de despesas brutas empenhadas - R$ '[2024']]])/Tabela1[[#This Row],[População estimada - pessoas '[2025']]]</f>
        <v>779.37909769065993</v>
      </c>
      <c r="Q18" s="1">
        <f>Tabela1[[#This Row],[Total de receitas brutas realizadas - R$ '[2024']]]/Tabela1[[#This Row],[População estimada - pessoas '[2025']]]</f>
        <v>6571.1175843187057</v>
      </c>
      <c r="R1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9" spans="1:18" x14ac:dyDescent="0.25">
      <c r="A19" t="s">
        <v>61</v>
      </c>
      <c r="B19">
        <v>2601409</v>
      </c>
      <c r="C19" t="s">
        <v>62</v>
      </c>
      <c r="D19" t="s">
        <v>63</v>
      </c>
      <c r="E19">
        <v>233.43299999999999</v>
      </c>
      <c r="F19">
        <v>40121</v>
      </c>
      <c r="G19">
        <v>171.87</v>
      </c>
      <c r="H19">
        <v>42083</v>
      </c>
      <c r="I19">
        <v>97.92</v>
      </c>
      <c r="J19">
        <v>0.58599999999999997</v>
      </c>
      <c r="K19">
        <v>10.64</v>
      </c>
      <c r="L19" s="1">
        <v>206287775.15000001</v>
      </c>
      <c r="M19" s="1">
        <v>206701612.34</v>
      </c>
      <c r="N19" s="1">
        <v>11757.3</v>
      </c>
      <c r="O19" s="3">
        <f>Tabela1[[#This Row],[Total de receitas brutas realizadas - R$ '[2024']]]-Tabela1[[#This Row],[Total de despesas brutas empenhadas - R$ '[2024']]]</f>
        <v>-413837.18999999762</v>
      </c>
      <c r="P19" s="1">
        <f>(Tabela1[[#This Row],[Total de receitas brutas realizadas - R$ '[2024']]]-Tabela1[[#This Row],[Total de despesas brutas empenhadas - R$ '[2024']]])/Tabela1[[#This Row],[População estimada - pessoas '[2025']]]</f>
        <v>-9.833832901646689</v>
      </c>
      <c r="Q19" s="1">
        <f>Tabela1[[#This Row],[Total de receitas brutas realizadas - R$ '[2024']]]/Tabela1[[#This Row],[População estimada - pessoas '[2025']]]</f>
        <v>4901.9265534776514</v>
      </c>
      <c r="R1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20" spans="1:18" x14ac:dyDescent="0.25">
      <c r="A20" t="s">
        <v>64</v>
      </c>
      <c r="B20">
        <v>2601508</v>
      </c>
      <c r="C20" t="s">
        <v>65</v>
      </c>
      <c r="D20" t="s">
        <v>66</v>
      </c>
      <c r="E20">
        <v>75.912000000000006</v>
      </c>
      <c r="F20">
        <v>10378</v>
      </c>
      <c r="G20">
        <v>141.88</v>
      </c>
      <c r="H20">
        <v>10798</v>
      </c>
      <c r="I20">
        <v>98.8</v>
      </c>
      <c r="J20">
        <v>0.57799999999999996</v>
      </c>
      <c r="K20">
        <v>31.25</v>
      </c>
      <c r="L20" s="1">
        <v>82449464.319999993</v>
      </c>
      <c r="M20" s="1">
        <v>63580027.280000001</v>
      </c>
      <c r="N20" s="1">
        <v>8176.47</v>
      </c>
      <c r="O20" s="3">
        <f>Tabela1[[#This Row],[Total de receitas brutas realizadas - R$ '[2024']]]-Tabela1[[#This Row],[Total de despesas brutas empenhadas - R$ '[2024']]]</f>
        <v>18869437.039999992</v>
      </c>
      <c r="P20" s="1">
        <f>(Tabela1[[#This Row],[Total de receitas brutas realizadas - R$ '[2024']]]-Tabela1[[#This Row],[Total de despesas brutas empenhadas - R$ '[2024']]])/Tabela1[[#This Row],[População estimada - pessoas '[2025']]]</f>
        <v>1747.4937062418958</v>
      </c>
      <c r="Q20" s="1">
        <f>Tabela1[[#This Row],[Total de receitas brutas realizadas - R$ '[2024']]]/Tabela1[[#This Row],[População estimada - pessoas '[2025']]]</f>
        <v>7635.6236636414142</v>
      </c>
      <c r="R2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21" spans="1:18" x14ac:dyDescent="0.25">
      <c r="A21" t="s">
        <v>67</v>
      </c>
      <c r="B21">
        <v>2601607</v>
      </c>
      <c r="C21" t="s">
        <v>65</v>
      </c>
      <c r="D21" t="s">
        <v>68</v>
      </c>
      <c r="E21">
        <v>1830.828</v>
      </c>
      <c r="F21">
        <v>18301</v>
      </c>
      <c r="G21">
        <v>10</v>
      </c>
      <c r="H21">
        <v>18648</v>
      </c>
      <c r="I21">
        <v>99.34</v>
      </c>
      <c r="J21">
        <v>0.64200000000000002</v>
      </c>
      <c r="K21">
        <v>7.19</v>
      </c>
      <c r="L21" s="1">
        <v>118569601.06</v>
      </c>
      <c r="M21" s="1">
        <v>114377628.13</v>
      </c>
      <c r="N21" s="1">
        <v>17669.71</v>
      </c>
      <c r="O21" s="3">
        <f>Tabela1[[#This Row],[Total de receitas brutas realizadas - R$ '[2024']]]-Tabela1[[#This Row],[Total de despesas brutas empenhadas - R$ '[2024']]]</f>
        <v>4191972.9300000072</v>
      </c>
      <c r="P21" s="1">
        <f>(Tabela1[[#This Row],[Total de receitas brutas realizadas - R$ '[2024']]]-Tabela1[[#This Row],[Total de despesas brutas empenhadas - R$ '[2024']]])/Tabela1[[#This Row],[População estimada - pessoas '[2025']]]</f>
        <v>224.79477316602356</v>
      </c>
      <c r="Q21" s="1">
        <f>Tabela1[[#This Row],[Total de receitas brutas realizadas - R$ '[2024']]]/Tabela1[[#This Row],[População estimada - pessoas '[2025']]]</f>
        <v>6358.3012151437151</v>
      </c>
      <c r="R2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22" spans="1:18" x14ac:dyDescent="0.25">
      <c r="A22" t="s">
        <v>69</v>
      </c>
      <c r="B22">
        <v>2601706</v>
      </c>
      <c r="C22" t="s">
        <v>70</v>
      </c>
      <c r="D22" t="s">
        <v>71</v>
      </c>
      <c r="E22">
        <v>647.44500000000005</v>
      </c>
      <c r="F22">
        <v>79507</v>
      </c>
      <c r="G22">
        <v>122.8</v>
      </c>
      <c r="H22">
        <v>84033</v>
      </c>
      <c r="I22">
        <v>97.1</v>
      </c>
      <c r="J22">
        <v>0.629</v>
      </c>
      <c r="K22">
        <v>12.57</v>
      </c>
      <c r="L22" s="1">
        <v>376938631.19</v>
      </c>
      <c r="M22" s="1">
        <v>342101292.22000003</v>
      </c>
      <c r="N22" s="1">
        <v>35942.239999999998</v>
      </c>
      <c r="O22" s="3">
        <f>Tabela1[[#This Row],[Total de receitas brutas realizadas - R$ '[2024']]]-Tabela1[[#This Row],[Total de despesas brutas empenhadas - R$ '[2024']]]</f>
        <v>34837338.969999969</v>
      </c>
      <c r="P22" s="1">
        <f>(Tabela1[[#This Row],[Total de receitas brutas realizadas - R$ '[2024']]]-Tabela1[[#This Row],[Total de despesas brutas empenhadas - R$ '[2024']]])/Tabela1[[#This Row],[População estimada - pessoas '[2025']]]</f>
        <v>414.56736008472825</v>
      </c>
      <c r="Q22" s="1">
        <f>Tabela1[[#This Row],[Total de receitas brutas realizadas - R$ '[2024']]]/Tabela1[[#This Row],[População estimada - pessoas '[2025']]]</f>
        <v>4485.6024560589294</v>
      </c>
      <c r="R2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23" spans="1:18" x14ac:dyDescent="0.25">
      <c r="A23" t="s">
        <v>72</v>
      </c>
      <c r="B23">
        <v>2601805</v>
      </c>
      <c r="C23" t="s">
        <v>73</v>
      </c>
      <c r="D23" t="s">
        <v>74</v>
      </c>
      <c r="E23">
        <v>1256.1379999999999</v>
      </c>
      <c r="F23">
        <v>11232</v>
      </c>
      <c r="G23">
        <v>9.0299999999999994</v>
      </c>
      <c r="H23">
        <v>11961</v>
      </c>
      <c r="I23">
        <v>99.2</v>
      </c>
      <c r="J23">
        <v>0.55900000000000005</v>
      </c>
      <c r="K23">
        <v>29.63</v>
      </c>
      <c r="L23" s="1">
        <v>81493864.680000007</v>
      </c>
      <c r="M23" s="1">
        <v>82089768.439999998</v>
      </c>
      <c r="N23" s="1">
        <v>8220.08</v>
      </c>
      <c r="O23" s="3">
        <f>Tabela1[[#This Row],[Total de receitas brutas realizadas - R$ '[2024']]]-Tabela1[[#This Row],[Total de despesas brutas empenhadas - R$ '[2024']]]</f>
        <v>-595903.75999999046</v>
      </c>
      <c r="P23" s="1">
        <f>(Tabela1[[#This Row],[Total de receitas brutas realizadas - R$ '[2024']]]-Tabela1[[#This Row],[Total de despesas brutas empenhadas - R$ '[2024']]])/Tabela1[[#This Row],[População estimada - pessoas '[2025']]]</f>
        <v>-49.820563498034481</v>
      </c>
      <c r="Q23" s="1">
        <f>Tabela1[[#This Row],[Total de receitas brutas realizadas - R$ '[2024']]]/Tabela1[[#This Row],[População estimada - pessoas '[2025']]]</f>
        <v>6813.2986104840738</v>
      </c>
      <c r="R2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24" spans="1:18" x14ac:dyDescent="0.25">
      <c r="A24" t="s">
        <v>75</v>
      </c>
      <c r="B24">
        <v>2601904</v>
      </c>
      <c r="C24" t="s">
        <v>76</v>
      </c>
      <c r="D24" t="s">
        <v>77</v>
      </c>
      <c r="E24">
        <v>497.15600000000001</v>
      </c>
      <c r="F24">
        <v>61694</v>
      </c>
      <c r="G24">
        <v>125.23</v>
      </c>
      <c r="H24">
        <v>65007</v>
      </c>
      <c r="I24">
        <v>98.53</v>
      </c>
      <c r="J24">
        <v>0.60599999999999998</v>
      </c>
      <c r="K24">
        <v>9.52</v>
      </c>
      <c r="L24" s="1">
        <v>259068932.52000001</v>
      </c>
      <c r="M24" s="1">
        <v>242739337.99000001</v>
      </c>
      <c r="N24" s="1">
        <v>15794.39</v>
      </c>
      <c r="O24" s="3">
        <f>Tabela1[[#This Row],[Total de receitas brutas realizadas - R$ '[2024']]]-Tabela1[[#This Row],[Total de despesas brutas empenhadas - R$ '[2024']]]</f>
        <v>16329594.530000001</v>
      </c>
      <c r="P24" s="1">
        <f>(Tabela1[[#This Row],[Total de receitas brutas realizadas - R$ '[2024']]]-Tabela1[[#This Row],[Total de despesas brutas empenhadas - R$ '[2024']]])/Tabela1[[#This Row],[População estimada - pessoas '[2025']]]</f>
        <v>251.19747919454829</v>
      </c>
      <c r="Q24" s="1">
        <f>Tabela1[[#This Row],[Total de receitas brutas realizadas - R$ '[2024']]]/Tabela1[[#This Row],[População estimada - pessoas '[2025']]]</f>
        <v>3985.2467045087456</v>
      </c>
      <c r="R2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25" spans="1:18" x14ac:dyDescent="0.25">
      <c r="A25" t="s">
        <v>78</v>
      </c>
      <c r="B25">
        <v>2602001</v>
      </c>
      <c r="C25" t="s">
        <v>79</v>
      </c>
      <c r="D25" t="s">
        <v>80</v>
      </c>
      <c r="E25">
        <v>1621.7860000000001</v>
      </c>
      <c r="F25">
        <v>34478</v>
      </c>
      <c r="G25">
        <v>21.26</v>
      </c>
      <c r="H25">
        <v>36145</v>
      </c>
      <c r="I25">
        <v>98.53</v>
      </c>
      <c r="J25">
        <v>0.56499999999999995</v>
      </c>
      <c r="K25">
        <v>14.89</v>
      </c>
      <c r="L25" s="1">
        <v>182901907.66</v>
      </c>
      <c r="M25" s="1">
        <v>178675214.97</v>
      </c>
      <c r="N25" s="1">
        <v>8211.64</v>
      </c>
      <c r="O25" s="3">
        <f>Tabela1[[#This Row],[Total de receitas brutas realizadas - R$ '[2024']]]-Tabela1[[#This Row],[Total de despesas brutas empenhadas - R$ '[2024']]]</f>
        <v>4226692.6899999976</v>
      </c>
      <c r="P25" s="1">
        <f>(Tabela1[[#This Row],[Total de receitas brutas realizadas - R$ '[2024']]]-Tabela1[[#This Row],[Total de despesas brutas empenhadas - R$ '[2024']]])/Tabela1[[#This Row],[População estimada - pessoas '[2025']]]</f>
        <v>116.93713349010922</v>
      </c>
      <c r="Q25" s="1">
        <f>Tabela1[[#This Row],[Total de receitas brutas realizadas - R$ '[2024']]]/Tabela1[[#This Row],[População estimada - pessoas '[2025']]]</f>
        <v>5060.2270759441135</v>
      </c>
      <c r="R2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26" spans="1:18" x14ac:dyDescent="0.25">
      <c r="A26" t="s">
        <v>81</v>
      </c>
      <c r="B26">
        <v>2602100</v>
      </c>
      <c r="C26" t="s">
        <v>82</v>
      </c>
      <c r="D26" t="s">
        <v>83</v>
      </c>
      <c r="E26">
        <v>790.774</v>
      </c>
      <c r="F26">
        <v>44294</v>
      </c>
      <c r="G26">
        <v>55.91</v>
      </c>
      <c r="H26">
        <v>46202</v>
      </c>
      <c r="I26">
        <v>98.5</v>
      </c>
      <c r="J26">
        <v>0.56299999999999994</v>
      </c>
      <c r="K26">
        <v>14.93</v>
      </c>
      <c r="L26" s="1">
        <v>230149280.28999999</v>
      </c>
      <c r="M26" s="1">
        <v>239318617.94</v>
      </c>
      <c r="N26" s="1">
        <v>13132.22</v>
      </c>
      <c r="O26" s="3">
        <f>Tabela1[[#This Row],[Total de receitas brutas realizadas - R$ '[2024']]]-Tabela1[[#This Row],[Total de despesas brutas empenhadas - R$ '[2024']]]</f>
        <v>-9169337.650000006</v>
      </c>
      <c r="P26" s="1">
        <f>(Tabela1[[#This Row],[Total de receitas brutas realizadas - R$ '[2024']]]-Tabela1[[#This Row],[Total de despesas brutas empenhadas - R$ '[2024']]])/Tabela1[[#This Row],[População estimada - pessoas '[2025']]]</f>
        <v>-198.46192047963305</v>
      </c>
      <c r="Q26" s="1">
        <f>Tabela1[[#This Row],[Total de receitas brutas realizadas - R$ '[2024']]]/Tabela1[[#This Row],[População estimada - pessoas '[2025']]]</f>
        <v>4981.3705097181937</v>
      </c>
      <c r="R2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27" spans="1:18" x14ac:dyDescent="0.25">
      <c r="A27" t="s">
        <v>84</v>
      </c>
      <c r="B27">
        <v>2602209</v>
      </c>
      <c r="C27" t="s">
        <v>85</v>
      </c>
      <c r="D27" t="s">
        <v>86</v>
      </c>
      <c r="E27">
        <v>226.63900000000001</v>
      </c>
      <c r="F27">
        <v>37629</v>
      </c>
      <c r="G27">
        <v>167.91</v>
      </c>
      <c r="H27">
        <v>39289</v>
      </c>
      <c r="I27">
        <v>99.65</v>
      </c>
      <c r="J27">
        <v>0.60199999999999998</v>
      </c>
      <c r="K27">
        <v>12.32</v>
      </c>
      <c r="L27" s="1">
        <v>186735721.19999999</v>
      </c>
      <c r="M27" s="1">
        <v>186482733.80000001</v>
      </c>
      <c r="N27" s="1">
        <v>9165.99</v>
      </c>
      <c r="O27" s="3">
        <f>Tabela1[[#This Row],[Total de receitas brutas realizadas - R$ '[2024']]]-Tabela1[[#This Row],[Total de despesas brutas empenhadas - R$ '[2024']]]</f>
        <v>252987.39999997616</v>
      </c>
      <c r="P27" s="1">
        <f>(Tabela1[[#This Row],[Total de receitas brutas realizadas - R$ '[2024']]]-Tabela1[[#This Row],[Total de despesas brutas empenhadas - R$ '[2024']]])/Tabela1[[#This Row],[População estimada - pessoas '[2025']]]</f>
        <v>6.4391407264113658</v>
      </c>
      <c r="Q27" s="1">
        <f>Tabela1[[#This Row],[Total de receitas brutas realizadas - R$ '[2024']]]/Tabela1[[#This Row],[População estimada - pessoas '[2025']]]</f>
        <v>4752.875390058286</v>
      </c>
      <c r="R2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28" spans="1:18" x14ac:dyDescent="0.25">
      <c r="A28" t="s">
        <v>87</v>
      </c>
      <c r="B28">
        <v>2602308</v>
      </c>
      <c r="C28" t="s">
        <v>88</v>
      </c>
      <c r="D28" t="s">
        <v>89</v>
      </c>
      <c r="E28">
        <v>392.62700000000001</v>
      </c>
      <c r="F28">
        <v>37474</v>
      </c>
      <c r="G28">
        <v>95.31</v>
      </c>
      <c r="H28">
        <v>39212</v>
      </c>
      <c r="I28">
        <v>97.78</v>
      </c>
      <c r="J28">
        <v>0.56100000000000005</v>
      </c>
      <c r="K28">
        <v>20.22</v>
      </c>
      <c r="L28" s="1">
        <v>205725701.49000001</v>
      </c>
      <c r="M28" s="1">
        <v>194606085.44</v>
      </c>
      <c r="N28" s="1">
        <v>14155.54</v>
      </c>
      <c r="O28" s="3">
        <f>Tabela1[[#This Row],[Total de receitas brutas realizadas - R$ '[2024']]]-Tabela1[[#This Row],[Total de despesas brutas empenhadas - R$ '[2024']]]</f>
        <v>11119616.050000012</v>
      </c>
      <c r="P28" s="1">
        <f>(Tabela1[[#This Row],[Total de receitas brutas realizadas - R$ '[2024']]]-Tabela1[[#This Row],[Total de despesas brutas empenhadas - R$ '[2024']]])/Tabela1[[#This Row],[População estimada - pessoas '[2025']]]</f>
        <v>283.57686550035731</v>
      </c>
      <c r="Q28" s="1">
        <f>Tabela1[[#This Row],[Total de receitas brutas realizadas - R$ '[2024']]]/Tabela1[[#This Row],[População estimada - pessoas '[2025']]]</f>
        <v>5246.4985588595327</v>
      </c>
      <c r="R2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29" spans="1:18" x14ac:dyDescent="0.25">
      <c r="A29" t="s">
        <v>90</v>
      </c>
      <c r="B29">
        <v>2602407</v>
      </c>
      <c r="C29" t="s">
        <v>91</v>
      </c>
      <c r="D29" t="s">
        <v>92</v>
      </c>
      <c r="E29">
        <v>159.786</v>
      </c>
      <c r="F29">
        <v>9079</v>
      </c>
      <c r="G29">
        <v>56.82</v>
      </c>
      <c r="H29">
        <v>9417</v>
      </c>
      <c r="I29">
        <v>99.74</v>
      </c>
      <c r="J29">
        <v>0.54700000000000004</v>
      </c>
      <c r="K29">
        <v>25.97</v>
      </c>
      <c r="L29" s="1">
        <v>78745058.299999997</v>
      </c>
      <c r="M29" s="1">
        <v>79570138.840000004</v>
      </c>
      <c r="N29" s="1">
        <v>20451.900000000001</v>
      </c>
      <c r="O29" s="3">
        <f>Tabela1[[#This Row],[Total de receitas brutas realizadas - R$ '[2024']]]-Tabela1[[#This Row],[Total de despesas brutas empenhadas - R$ '[2024']]]</f>
        <v>-825080.54000000656</v>
      </c>
      <c r="P29" s="1">
        <f>(Tabela1[[#This Row],[Total de receitas brutas realizadas - R$ '[2024']]]-Tabela1[[#This Row],[Total de despesas brutas empenhadas - R$ '[2024']]])/Tabela1[[#This Row],[População estimada - pessoas '[2025']]]</f>
        <v>-87.616070935542794</v>
      </c>
      <c r="Q29" s="1">
        <f>Tabela1[[#This Row],[Total de receitas brutas realizadas - R$ '[2024']]]/Tabela1[[#This Row],[População estimada - pessoas '[2025']]]</f>
        <v>8362.0110757141338</v>
      </c>
      <c r="R2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0" spans="1:18" x14ac:dyDescent="0.25">
      <c r="A30" t="s">
        <v>93</v>
      </c>
      <c r="B30">
        <v>2602506</v>
      </c>
      <c r="C30" t="s">
        <v>94</v>
      </c>
      <c r="D30" t="s">
        <v>95</v>
      </c>
      <c r="E30">
        <v>106.066</v>
      </c>
      <c r="F30">
        <v>7720</v>
      </c>
      <c r="G30">
        <v>72.8</v>
      </c>
      <c r="H30">
        <v>8033</v>
      </c>
      <c r="I30">
        <v>99.75</v>
      </c>
      <c r="J30">
        <v>0.57399999999999995</v>
      </c>
      <c r="K30">
        <v>32.97</v>
      </c>
      <c r="L30" s="1">
        <v>65334303.990000002</v>
      </c>
      <c r="M30" s="1">
        <v>81131351.870000005</v>
      </c>
      <c r="N30" s="1">
        <v>11200.23</v>
      </c>
      <c r="O30" s="3">
        <f>Tabela1[[#This Row],[Total de receitas brutas realizadas - R$ '[2024']]]-Tabela1[[#This Row],[Total de despesas brutas empenhadas - R$ '[2024']]]</f>
        <v>-15797047.880000003</v>
      </c>
      <c r="P30" s="1">
        <f>(Tabela1[[#This Row],[Total de receitas brutas realizadas - R$ '[2024']]]-Tabela1[[#This Row],[Total de despesas brutas empenhadas - R$ '[2024']]])/Tabela1[[#This Row],[População estimada - pessoas '[2025']]]</f>
        <v>-1966.5190937383297</v>
      </c>
      <c r="Q30" s="1">
        <f>Tabela1[[#This Row],[Total de receitas brutas realizadas - R$ '[2024']]]/Tabela1[[#This Row],[População estimada - pessoas '[2025']]]</f>
        <v>8133.2383903896434</v>
      </c>
      <c r="R3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1" spans="1:18" x14ac:dyDescent="0.25">
      <c r="A31" t="s">
        <v>96</v>
      </c>
      <c r="B31">
        <v>2602605</v>
      </c>
      <c r="C31" t="s">
        <v>97</v>
      </c>
      <c r="D31" t="s">
        <v>98</v>
      </c>
      <c r="E31">
        <v>761.82399999999996</v>
      </c>
      <c r="F31">
        <v>48648</v>
      </c>
      <c r="G31">
        <v>63.81</v>
      </c>
      <c r="H31">
        <v>51308</v>
      </c>
      <c r="I31">
        <v>99.08</v>
      </c>
      <c r="J31">
        <v>0.56200000000000006</v>
      </c>
      <c r="K31">
        <v>21.05</v>
      </c>
      <c r="L31" s="1">
        <v>226327535.27000001</v>
      </c>
      <c r="M31" s="1">
        <v>221369099.69</v>
      </c>
      <c r="N31" s="1">
        <v>8924.43</v>
      </c>
      <c r="O31" s="3">
        <f>Tabela1[[#This Row],[Total de receitas brutas realizadas - R$ '[2024']]]-Tabela1[[#This Row],[Total de despesas brutas empenhadas - R$ '[2024']]]</f>
        <v>4958435.5800000131</v>
      </c>
      <c r="P31" s="1">
        <f>(Tabela1[[#This Row],[Total de receitas brutas realizadas - R$ '[2024']]]-Tabela1[[#This Row],[Total de despesas brutas empenhadas - R$ '[2024']]])/Tabela1[[#This Row],[População estimada - pessoas '[2025']]]</f>
        <v>96.640593669603433</v>
      </c>
      <c r="Q31" s="1">
        <f>Tabela1[[#This Row],[Total de receitas brutas realizadas - R$ '[2024']]]/Tabela1[[#This Row],[População estimada - pessoas '[2025']]]</f>
        <v>4411.1548933889453</v>
      </c>
      <c r="R3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2" spans="1:18" x14ac:dyDescent="0.25">
      <c r="A32" t="s">
        <v>99</v>
      </c>
      <c r="B32">
        <v>2602704</v>
      </c>
      <c r="C32" t="s">
        <v>100</v>
      </c>
      <c r="D32" t="s">
        <v>101</v>
      </c>
      <c r="E32">
        <v>93.186999999999998</v>
      </c>
      <c r="F32">
        <v>12808</v>
      </c>
      <c r="G32">
        <v>137.44</v>
      </c>
      <c r="H32">
        <v>13276</v>
      </c>
      <c r="I32">
        <v>99.68</v>
      </c>
      <c r="J32">
        <v>0.59299999999999997</v>
      </c>
      <c r="K32">
        <v>14.93</v>
      </c>
      <c r="L32" s="1">
        <v>79391439.560000002</v>
      </c>
      <c r="M32" s="1">
        <v>78677918.680000007</v>
      </c>
      <c r="N32" s="1">
        <v>10068.94</v>
      </c>
      <c r="O32" s="3">
        <f>Tabela1[[#This Row],[Total de receitas brutas realizadas - R$ '[2024']]]-Tabela1[[#This Row],[Total de despesas brutas empenhadas - R$ '[2024']]]</f>
        <v>713520.87999999523</v>
      </c>
      <c r="P32" s="1">
        <f>(Tabela1[[#This Row],[Total de receitas brutas realizadas - R$ '[2024']]]-Tabela1[[#This Row],[Total de despesas brutas empenhadas - R$ '[2024']]])/Tabela1[[#This Row],[População estimada - pessoas '[2025']]]</f>
        <v>53.745170231997228</v>
      </c>
      <c r="Q32" s="1">
        <f>Tabela1[[#This Row],[Total de receitas brutas realizadas - R$ '[2024']]]/Tabela1[[#This Row],[População estimada - pessoas '[2025']]]</f>
        <v>5980.0722777945166</v>
      </c>
      <c r="R3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3" spans="1:18" x14ac:dyDescent="0.25">
      <c r="A33" t="s">
        <v>102</v>
      </c>
      <c r="B33">
        <v>2602803</v>
      </c>
      <c r="C33" t="s">
        <v>103</v>
      </c>
      <c r="D33" t="s">
        <v>104</v>
      </c>
      <c r="E33">
        <v>1336.5440000000001</v>
      </c>
      <c r="F33">
        <v>52097</v>
      </c>
      <c r="G33">
        <v>38.979999999999997</v>
      </c>
      <c r="H33">
        <v>53489</v>
      </c>
      <c r="I33">
        <v>97.67</v>
      </c>
      <c r="J33">
        <v>0.52700000000000002</v>
      </c>
      <c r="K33">
        <v>16.190000000000001</v>
      </c>
      <c r="L33" s="1">
        <v>248734097.75</v>
      </c>
      <c r="M33" s="1">
        <v>232399641.11000001</v>
      </c>
      <c r="N33" s="1">
        <v>9235.2099999999991</v>
      </c>
      <c r="O33" s="3">
        <f>Tabela1[[#This Row],[Total de receitas brutas realizadas - R$ '[2024']]]-Tabela1[[#This Row],[Total de despesas brutas empenhadas - R$ '[2024']]]</f>
        <v>16334456.639999986</v>
      </c>
      <c r="P33" s="1">
        <f>(Tabela1[[#This Row],[Total de receitas brutas realizadas - R$ '[2024']]]-Tabela1[[#This Row],[Total de despesas brutas empenhadas - R$ '[2024']]])/Tabela1[[#This Row],[População estimada - pessoas '[2025']]]</f>
        <v>305.37973489876396</v>
      </c>
      <c r="Q33" s="1">
        <f>Tabela1[[#This Row],[Total de receitas brutas realizadas - R$ '[2024']]]/Tabela1[[#This Row],[População estimada - pessoas '[2025']]]</f>
        <v>4650.1915861205107</v>
      </c>
      <c r="R3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4" spans="1:18" x14ac:dyDescent="0.25">
      <c r="A34" t="s">
        <v>105</v>
      </c>
      <c r="B34">
        <v>2602902</v>
      </c>
      <c r="C34" t="s">
        <v>106</v>
      </c>
      <c r="D34" t="s">
        <v>107</v>
      </c>
      <c r="E34">
        <v>445.38600000000002</v>
      </c>
      <c r="F34">
        <v>203440</v>
      </c>
      <c r="G34">
        <v>456.77</v>
      </c>
      <c r="H34">
        <v>218049</v>
      </c>
      <c r="I34">
        <v>98.01</v>
      </c>
      <c r="J34">
        <v>0.68600000000000005</v>
      </c>
      <c r="K34">
        <v>10.87</v>
      </c>
      <c r="L34" s="1">
        <v>1391194493.0999999</v>
      </c>
      <c r="M34" s="1">
        <v>1224966866.72</v>
      </c>
      <c r="N34" s="1">
        <v>65022.05</v>
      </c>
      <c r="O34" s="3">
        <f>Tabela1[[#This Row],[Total de receitas brutas realizadas - R$ '[2024']]]-Tabela1[[#This Row],[Total de despesas brutas empenhadas - R$ '[2024']]]</f>
        <v>166227626.37999988</v>
      </c>
      <c r="P34" s="1">
        <f>(Tabela1[[#This Row],[Total de receitas brutas realizadas - R$ '[2024']]]-Tabela1[[#This Row],[Total de despesas brutas empenhadas - R$ '[2024']]])/Tabela1[[#This Row],[População estimada - pessoas '[2025']]]</f>
        <v>762.34069580690527</v>
      </c>
      <c r="Q34" s="1">
        <f>Tabela1[[#This Row],[Total de receitas brutas realizadas - R$ '[2024']]]/Tabela1[[#This Row],[População estimada - pessoas '[2025']]]</f>
        <v>6380.1920352764737</v>
      </c>
      <c r="R3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35" spans="1:18" x14ac:dyDescent="0.25">
      <c r="A35" t="s">
        <v>108</v>
      </c>
      <c r="B35">
        <v>2603009</v>
      </c>
      <c r="C35" t="s">
        <v>109</v>
      </c>
      <c r="D35" t="s">
        <v>110</v>
      </c>
      <c r="E35">
        <v>1658.616</v>
      </c>
      <c r="F35">
        <v>30294</v>
      </c>
      <c r="G35">
        <v>18.260000000000002</v>
      </c>
      <c r="H35">
        <v>31762</v>
      </c>
      <c r="I35">
        <v>98.61</v>
      </c>
      <c r="J35">
        <v>0.623</v>
      </c>
      <c r="K35">
        <v>23.26</v>
      </c>
      <c r="L35" s="1">
        <v>175862578.16</v>
      </c>
      <c r="M35" s="1">
        <v>175361790.41999999</v>
      </c>
      <c r="N35" s="1">
        <v>12676.5</v>
      </c>
      <c r="O35" s="3">
        <f>Tabela1[[#This Row],[Total de receitas brutas realizadas - R$ '[2024']]]-Tabela1[[#This Row],[Total de despesas brutas empenhadas - R$ '[2024']]]</f>
        <v>500787.74000000954</v>
      </c>
      <c r="P35" s="1">
        <f>(Tabela1[[#This Row],[Total de receitas brutas realizadas - R$ '[2024']]]-Tabela1[[#This Row],[Total de despesas brutas empenhadas - R$ '[2024']]])/Tabela1[[#This Row],[População estimada - pessoas '[2025']]]</f>
        <v>15.766883067817188</v>
      </c>
      <c r="Q35" s="1">
        <f>Tabela1[[#This Row],[Total de receitas brutas realizadas - R$ '[2024']]]/Tabela1[[#This Row],[População estimada - pessoas '[2025']]]</f>
        <v>5536.8861583023736</v>
      </c>
      <c r="R3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36" spans="1:18" x14ac:dyDescent="0.25">
      <c r="A36" t="s">
        <v>111</v>
      </c>
      <c r="B36">
        <v>2603108</v>
      </c>
      <c r="C36" t="s">
        <v>112</v>
      </c>
      <c r="D36" t="s">
        <v>113</v>
      </c>
      <c r="E36">
        <v>179.262</v>
      </c>
      <c r="F36">
        <v>19899</v>
      </c>
      <c r="G36">
        <v>111.01</v>
      </c>
      <c r="H36">
        <v>20673</v>
      </c>
      <c r="I36">
        <v>97.84</v>
      </c>
      <c r="J36">
        <v>0.57899999999999996</v>
      </c>
      <c r="K36">
        <v>16.78</v>
      </c>
      <c r="L36" s="1">
        <v>97623401.349999994</v>
      </c>
      <c r="M36" s="1">
        <v>86664337.969999999</v>
      </c>
      <c r="N36" s="1">
        <v>12337.22</v>
      </c>
      <c r="O36" s="3">
        <f>Tabela1[[#This Row],[Total de receitas brutas realizadas - R$ '[2024']]]-Tabela1[[#This Row],[Total de despesas brutas empenhadas - R$ '[2024']]]</f>
        <v>10959063.379999995</v>
      </c>
      <c r="P36" s="1">
        <f>(Tabela1[[#This Row],[Total de receitas brutas realizadas - R$ '[2024']]]-Tabela1[[#This Row],[Total de despesas brutas empenhadas - R$ '[2024']]])/Tabela1[[#This Row],[População estimada - pessoas '[2025']]]</f>
        <v>530.1148057853236</v>
      </c>
      <c r="Q36" s="1">
        <f>Tabela1[[#This Row],[Total de receitas brutas realizadas - R$ '[2024']]]/Tabela1[[#This Row],[População estimada - pessoas '[2025']]]</f>
        <v>4722.2658225705027</v>
      </c>
      <c r="R3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7" spans="1:18" x14ac:dyDescent="0.25">
      <c r="A37" t="s">
        <v>114</v>
      </c>
      <c r="B37">
        <v>2603207</v>
      </c>
      <c r="C37" t="s">
        <v>115</v>
      </c>
      <c r="D37" t="s">
        <v>116</v>
      </c>
      <c r="E37">
        <v>294.94600000000003</v>
      </c>
      <c r="F37">
        <v>28827</v>
      </c>
      <c r="G37">
        <v>97.74</v>
      </c>
      <c r="H37">
        <v>30571</v>
      </c>
      <c r="I37">
        <v>99.49</v>
      </c>
      <c r="J37">
        <v>0.52200000000000002</v>
      </c>
      <c r="K37">
        <v>22.78</v>
      </c>
      <c r="L37" s="1">
        <v>150770952.61000001</v>
      </c>
      <c r="M37" s="1">
        <v>134200382.18000001</v>
      </c>
      <c r="N37" s="1">
        <v>14578.59</v>
      </c>
      <c r="O37" s="3">
        <f>Tabela1[[#This Row],[Total de receitas brutas realizadas - R$ '[2024']]]-Tabela1[[#This Row],[Total de despesas brutas empenhadas - R$ '[2024']]]</f>
        <v>16570570.430000007</v>
      </c>
      <c r="P37" s="1">
        <f>(Tabela1[[#This Row],[Total de receitas brutas realizadas - R$ '[2024']]]-Tabela1[[#This Row],[Total de despesas brutas empenhadas - R$ '[2024']]])/Tabela1[[#This Row],[População estimada - pessoas '[2025']]]</f>
        <v>542.0356033495799</v>
      </c>
      <c r="Q37" s="1">
        <f>Tabela1[[#This Row],[Total de receitas brutas realizadas - R$ '[2024']]]/Tabela1[[#This Row],[População estimada - pessoas '[2025']]]</f>
        <v>4931.8292698963078</v>
      </c>
      <c r="R3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8" spans="1:18" x14ac:dyDescent="0.25">
      <c r="A38" t="s">
        <v>117</v>
      </c>
      <c r="B38">
        <v>2603306</v>
      </c>
      <c r="C38" t="s">
        <v>118</v>
      </c>
      <c r="D38" t="s">
        <v>119</v>
      </c>
      <c r="E38">
        <v>121.435</v>
      </c>
      <c r="F38">
        <v>11093</v>
      </c>
      <c r="G38">
        <v>90.97</v>
      </c>
      <c r="H38">
        <v>11453</v>
      </c>
      <c r="I38">
        <v>99.69</v>
      </c>
      <c r="J38">
        <v>0.56599999999999995</v>
      </c>
      <c r="K38">
        <v>8.77</v>
      </c>
      <c r="L38" s="1">
        <v>64489382.310000002</v>
      </c>
      <c r="M38" s="1">
        <v>67899521.870000005</v>
      </c>
      <c r="N38" s="1">
        <v>10497.94</v>
      </c>
      <c r="O38" s="3">
        <f>Tabela1[[#This Row],[Total de receitas brutas realizadas - R$ '[2024']]]-Tabela1[[#This Row],[Total de despesas brutas empenhadas - R$ '[2024']]]</f>
        <v>-3410139.5600000024</v>
      </c>
      <c r="P38" s="1">
        <f>(Tabela1[[#This Row],[Total de receitas brutas realizadas - R$ '[2024']]]-Tabela1[[#This Row],[Total de despesas brutas empenhadas - R$ '[2024']]])/Tabela1[[#This Row],[População estimada - pessoas '[2025']]]</f>
        <v>-297.75076923076944</v>
      </c>
      <c r="Q38" s="1">
        <f>Tabela1[[#This Row],[Total de receitas brutas realizadas - R$ '[2024']]]/Tabela1[[#This Row],[População estimada - pessoas '[2025']]]</f>
        <v>5630.7851488692922</v>
      </c>
      <c r="R3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39" spans="1:18" x14ac:dyDescent="0.25">
      <c r="A39" t="s">
        <v>120</v>
      </c>
      <c r="B39">
        <v>2603405</v>
      </c>
      <c r="C39" t="s">
        <v>121</v>
      </c>
      <c r="D39" t="s">
        <v>122</v>
      </c>
      <c r="E39">
        <v>179.31399999999999</v>
      </c>
      <c r="F39">
        <v>5228</v>
      </c>
      <c r="G39">
        <v>29.16</v>
      </c>
      <c r="H39">
        <v>5354</v>
      </c>
      <c r="I39">
        <v>99.41</v>
      </c>
      <c r="J39">
        <v>0.57099999999999995</v>
      </c>
      <c r="K39" t="s">
        <v>24</v>
      </c>
      <c r="L39" s="1">
        <v>53003933.509999998</v>
      </c>
      <c r="M39" s="1">
        <v>53280473.210000001</v>
      </c>
      <c r="N39" s="1">
        <v>8756.9599999999991</v>
      </c>
      <c r="O39" s="3">
        <f>Tabela1[[#This Row],[Total de receitas brutas realizadas - R$ '[2024']]]-Tabela1[[#This Row],[Total de despesas brutas empenhadas - R$ '[2024']]]</f>
        <v>-276539.70000000298</v>
      </c>
      <c r="P39" s="1">
        <f>(Tabela1[[#This Row],[Total de receitas brutas realizadas - R$ '[2024']]]-Tabela1[[#This Row],[Total de despesas brutas empenhadas - R$ '[2024']]])/Tabela1[[#This Row],[População estimada - pessoas '[2025']]]</f>
        <v>-51.651045946956103</v>
      </c>
      <c r="Q39" s="1">
        <f>Tabela1[[#This Row],[Total de receitas brutas realizadas - R$ '[2024']]]/Tabela1[[#This Row],[População estimada - pessoas '[2025']]]</f>
        <v>9899.8755155024282</v>
      </c>
      <c r="R3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40" spans="1:18" x14ac:dyDescent="0.25">
      <c r="A40" t="s">
        <v>123</v>
      </c>
      <c r="B40">
        <v>2603454</v>
      </c>
      <c r="C40" t="s">
        <v>124</v>
      </c>
      <c r="D40" t="s">
        <v>125</v>
      </c>
      <c r="E40">
        <v>51.320999999999998</v>
      </c>
      <c r="F40">
        <v>147771</v>
      </c>
      <c r="G40">
        <v>2879.35</v>
      </c>
      <c r="H40">
        <v>156112</v>
      </c>
      <c r="I40">
        <v>96.76</v>
      </c>
      <c r="J40">
        <v>0.69199999999999995</v>
      </c>
      <c r="K40">
        <v>15.06</v>
      </c>
      <c r="L40" s="1">
        <v>622917947.46000004</v>
      </c>
      <c r="M40" s="1">
        <v>551441283.61000001</v>
      </c>
      <c r="N40" s="1">
        <v>13940.29</v>
      </c>
      <c r="O40" s="3">
        <f>Tabela1[[#This Row],[Total de receitas brutas realizadas - R$ '[2024']]]-Tabela1[[#This Row],[Total de despesas brutas empenhadas - R$ '[2024']]]</f>
        <v>71476663.850000024</v>
      </c>
      <c r="P40" s="1">
        <f>(Tabela1[[#This Row],[Total de receitas brutas realizadas - R$ '[2024']]]-Tabela1[[#This Row],[Total de despesas brutas empenhadas - R$ '[2024']]])/Tabela1[[#This Row],[População estimada - pessoas '[2025']]]</f>
        <v>457.85502619913922</v>
      </c>
      <c r="Q40" s="1">
        <f>Tabela1[[#This Row],[Total de receitas brutas realizadas - R$ '[2024']]]/Tabela1[[#This Row],[População estimada - pessoas '[2025']]]</f>
        <v>3990.1990075074309</v>
      </c>
      <c r="R4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41" spans="1:18" x14ac:dyDescent="0.25">
      <c r="A41" t="s">
        <v>126</v>
      </c>
      <c r="B41">
        <v>2603504</v>
      </c>
      <c r="C41" t="s">
        <v>127</v>
      </c>
      <c r="D41" t="s">
        <v>128</v>
      </c>
      <c r="E41">
        <v>72.010000000000005</v>
      </c>
      <c r="F41">
        <v>17419</v>
      </c>
      <c r="G41">
        <v>241.9</v>
      </c>
      <c r="H41">
        <v>18018</v>
      </c>
      <c r="I41">
        <v>95.95</v>
      </c>
      <c r="J41">
        <v>0.58799999999999997</v>
      </c>
      <c r="K41">
        <v>18.350000000000001</v>
      </c>
      <c r="L41" s="1">
        <v>90864968.269999996</v>
      </c>
      <c r="M41" s="1">
        <v>82384874.370000005</v>
      </c>
      <c r="N41" s="1">
        <v>9518.74</v>
      </c>
      <c r="O41" s="3">
        <f>Tabela1[[#This Row],[Total de receitas brutas realizadas - R$ '[2024']]]-Tabela1[[#This Row],[Total de despesas brutas empenhadas - R$ '[2024']]]</f>
        <v>8480093.8999999911</v>
      </c>
      <c r="P41" s="1">
        <f>(Tabela1[[#This Row],[Total de receitas brutas realizadas - R$ '[2024']]]-Tabela1[[#This Row],[Total de despesas brutas empenhadas - R$ '[2024']]])/Tabela1[[#This Row],[População estimada - pessoas '[2025']]]</f>
        <v>470.64568209568159</v>
      </c>
      <c r="Q41" s="1">
        <f>Tabela1[[#This Row],[Total de receitas brutas realizadas - R$ '[2024']]]/Tabela1[[#This Row],[População estimada - pessoas '[2025']]]</f>
        <v>5043.0107819957821</v>
      </c>
      <c r="R4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42" spans="1:18" x14ac:dyDescent="0.25">
      <c r="A42" t="s">
        <v>129</v>
      </c>
      <c r="B42">
        <v>2603603</v>
      </c>
      <c r="C42" t="s">
        <v>130</v>
      </c>
      <c r="D42" t="s">
        <v>131</v>
      </c>
      <c r="E42">
        <v>39.116</v>
      </c>
      <c r="F42">
        <v>7750</v>
      </c>
      <c r="G42">
        <v>198.13</v>
      </c>
      <c r="H42">
        <v>7962</v>
      </c>
      <c r="I42">
        <v>99.78</v>
      </c>
      <c r="J42">
        <v>0.60599999999999998</v>
      </c>
      <c r="K42">
        <v>10.64</v>
      </c>
      <c r="L42" s="1">
        <v>66583613.270000003</v>
      </c>
      <c r="M42" s="1">
        <v>59319291.950000003</v>
      </c>
      <c r="N42" s="1">
        <v>33213.32</v>
      </c>
      <c r="O42" s="3">
        <f>Tabela1[[#This Row],[Total de receitas brutas realizadas - R$ '[2024']]]-Tabela1[[#This Row],[Total de despesas brutas empenhadas - R$ '[2024']]]</f>
        <v>7264321.3200000003</v>
      </c>
      <c r="P42" s="1">
        <f>(Tabela1[[#This Row],[Total de receitas brutas realizadas - R$ '[2024']]]-Tabela1[[#This Row],[Total de despesas brutas empenhadas - R$ '[2024']]])/Tabela1[[#This Row],[População estimada - pessoas '[2025']]]</f>
        <v>912.37394122079888</v>
      </c>
      <c r="Q42" s="1">
        <f>Tabela1[[#This Row],[Total de receitas brutas realizadas - R$ '[2024']]]/Tabela1[[#This Row],[População estimada - pessoas '[2025']]]</f>
        <v>8362.6743619693552</v>
      </c>
      <c r="R4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43" spans="1:18" x14ac:dyDescent="0.25">
      <c r="A43" t="s">
        <v>132</v>
      </c>
      <c r="B43">
        <v>2603702</v>
      </c>
      <c r="C43" t="s">
        <v>133</v>
      </c>
      <c r="D43" t="s">
        <v>134</v>
      </c>
      <c r="E43">
        <v>422.83</v>
      </c>
      <c r="F43">
        <v>24329</v>
      </c>
      <c r="G43">
        <v>57.49</v>
      </c>
      <c r="H43">
        <v>25103</v>
      </c>
      <c r="I43">
        <v>98.84</v>
      </c>
      <c r="J43">
        <v>0.54100000000000004</v>
      </c>
      <c r="K43">
        <v>18.52</v>
      </c>
      <c r="L43" s="1">
        <v>134530927.84999999</v>
      </c>
      <c r="M43" s="1">
        <v>122660008.22</v>
      </c>
      <c r="N43" s="1">
        <v>10232.040000000001</v>
      </c>
      <c r="O43" s="3">
        <f>Tabela1[[#This Row],[Total de receitas brutas realizadas - R$ '[2024']]]-Tabela1[[#This Row],[Total de despesas brutas empenhadas - R$ '[2024']]]</f>
        <v>11870919.629999995</v>
      </c>
      <c r="P43" s="1">
        <f>(Tabela1[[#This Row],[Total de receitas brutas realizadas - R$ '[2024']]]-Tabela1[[#This Row],[Total de despesas brutas empenhadas - R$ '[2024']]])/Tabela1[[#This Row],[População estimada - pessoas '[2025']]]</f>
        <v>472.88848464326952</v>
      </c>
      <c r="Q43" s="1">
        <f>Tabela1[[#This Row],[Total de receitas brutas realizadas - R$ '[2024']]]/Tabela1[[#This Row],[População estimada - pessoas '[2025']]]</f>
        <v>5359.157385571445</v>
      </c>
      <c r="R4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44" spans="1:18" x14ac:dyDescent="0.25">
      <c r="A44" t="s">
        <v>135</v>
      </c>
      <c r="B44">
        <v>2603801</v>
      </c>
      <c r="C44" t="s">
        <v>136</v>
      </c>
      <c r="D44" t="s">
        <v>137</v>
      </c>
      <c r="E44">
        <v>337.108</v>
      </c>
      <c r="F44">
        <v>18338</v>
      </c>
      <c r="G44">
        <v>54.39</v>
      </c>
      <c r="H44">
        <v>18854</v>
      </c>
      <c r="I44">
        <v>100</v>
      </c>
      <c r="J44">
        <v>0.54900000000000004</v>
      </c>
      <c r="K44">
        <v>16</v>
      </c>
      <c r="L44" s="1">
        <v>126735542.45999999</v>
      </c>
      <c r="M44" s="1">
        <v>111319629.33</v>
      </c>
      <c r="N44" s="1">
        <v>12173.46</v>
      </c>
      <c r="O44" s="3">
        <f>Tabela1[[#This Row],[Total de receitas brutas realizadas - R$ '[2024']]]-Tabela1[[#This Row],[Total de despesas brutas empenhadas - R$ '[2024']]]</f>
        <v>15415913.129999995</v>
      </c>
      <c r="P44" s="1">
        <f>(Tabela1[[#This Row],[Total de receitas brutas realizadas - R$ '[2024']]]-Tabela1[[#This Row],[Total de despesas brutas empenhadas - R$ '[2024']]])/Tabela1[[#This Row],[População estimada - pessoas '[2025']]]</f>
        <v>817.64681924260083</v>
      </c>
      <c r="Q44" s="1">
        <f>Tabela1[[#This Row],[Total de receitas brutas realizadas - R$ '[2024']]]/Tabela1[[#This Row],[População estimada - pessoas '[2025']]]</f>
        <v>6721.9445454545448</v>
      </c>
      <c r="R4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45" spans="1:18" x14ac:dyDescent="0.25">
      <c r="A45" t="s">
        <v>138</v>
      </c>
      <c r="B45">
        <v>2603900</v>
      </c>
      <c r="C45" t="s">
        <v>139</v>
      </c>
      <c r="D45" t="s">
        <v>140</v>
      </c>
      <c r="E45">
        <v>432.137</v>
      </c>
      <c r="F45">
        <v>18644</v>
      </c>
      <c r="G45">
        <v>43.58</v>
      </c>
      <c r="H45">
        <v>19533</v>
      </c>
      <c r="I45">
        <v>99.28</v>
      </c>
      <c r="J45">
        <v>0.58299999999999996</v>
      </c>
      <c r="K45">
        <v>4.46</v>
      </c>
      <c r="L45" s="1">
        <v>129006624.16</v>
      </c>
      <c r="M45" s="1">
        <v>119935223.59999999</v>
      </c>
      <c r="N45" s="1">
        <v>9841.6299999999992</v>
      </c>
      <c r="O45" s="3">
        <f>Tabela1[[#This Row],[Total de receitas brutas realizadas - R$ '[2024']]]-Tabela1[[#This Row],[Total de despesas brutas empenhadas - R$ '[2024']]]</f>
        <v>9071400.5600000024</v>
      </c>
      <c r="P45" s="1">
        <f>(Tabela1[[#This Row],[Total de receitas brutas realizadas - R$ '[2024']]]-Tabela1[[#This Row],[Total de despesas brutas empenhadas - R$ '[2024']]])/Tabela1[[#This Row],[População estimada - pessoas '[2025']]]</f>
        <v>464.41409716889376</v>
      </c>
      <c r="Q45" s="1">
        <f>Tabela1[[#This Row],[Total de receitas brutas realizadas - R$ '[2024']]]/Tabela1[[#This Row],[População estimada - pessoas '[2025']]]</f>
        <v>6604.5473895458963</v>
      </c>
      <c r="R4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46" spans="1:18" x14ac:dyDescent="0.25">
      <c r="A46" t="s">
        <v>141</v>
      </c>
      <c r="B46">
        <v>2603926</v>
      </c>
      <c r="C46" t="s">
        <v>142</v>
      </c>
      <c r="D46" t="s">
        <v>143</v>
      </c>
      <c r="E46">
        <v>1004.248</v>
      </c>
      <c r="F46">
        <v>12239</v>
      </c>
      <c r="G46">
        <v>12.18</v>
      </c>
      <c r="H46">
        <v>12712</v>
      </c>
      <c r="I46">
        <v>97.71</v>
      </c>
      <c r="J46">
        <v>0.57299999999999995</v>
      </c>
      <c r="K46">
        <v>32.130000000000003</v>
      </c>
      <c r="L46" s="1">
        <v>65395235.409999996</v>
      </c>
      <c r="M46" s="1">
        <v>64216500.640000001</v>
      </c>
      <c r="N46" s="1">
        <v>6359.89</v>
      </c>
      <c r="O46" s="3">
        <f>Tabela1[[#This Row],[Total de receitas brutas realizadas - R$ '[2024']]]-Tabela1[[#This Row],[Total de despesas brutas empenhadas - R$ '[2024']]]</f>
        <v>1178734.7699999958</v>
      </c>
      <c r="P46" s="1">
        <f>(Tabela1[[#This Row],[Total de receitas brutas realizadas - R$ '[2024']]]-Tabela1[[#This Row],[Total de despesas brutas empenhadas - R$ '[2024']]])/Tabela1[[#This Row],[População estimada - pessoas '[2025']]]</f>
        <v>92.72614616110728</v>
      </c>
      <c r="Q46" s="1">
        <f>Tabela1[[#This Row],[Total de receitas brutas realizadas - R$ '[2024']]]/Tabela1[[#This Row],[População estimada - pessoas '[2025']]]</f>
        <v>5144.3703123033356</v>
      </c>
      <c r="R4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47" spans="1:18" x14ac:dyDescent="0.25">
      <c r="A47" t="s">
        <v>144</v>
      </c>
      <c r="B47">
        <v>2604007</v>
      </c>
      <c r="C47" t="s">
        <v>145</v>
      </c>
      <c r="D47" t="s">
        <v>146</v>
      </c>
      <c r="E47">
        <v>146.494</v>
      </c>
      <c r="F47">
        <v>79293</v>
      </c>
      <c r="G47">
        <v>539.35</v>
      </c>
      <c r="H47">
        <v>83482</v>
      </c>
      <c r="I47">
        <v>99.18</v>
      </c>
      <c r="J47">
        <v>0.68</v>
      </c>
      <c r="K47">
        <v>9.99</v>
      </c>
      <c r="L47" s="1">
        <v>330355282.07999998</v>
      </c>
      <c r="M47" s="1">
        <v>298341247.88</v>
      </c>
      <c r="N47" s="1">
        <v>20496.82</v>
      </c>
      <c r="O47" s="3">
        <f>Tabela1[[#This Row],[Total de receitas brutas realizadas - R$ '[2024']]]-Tabela1[[#This Row],[Total de despesas brutas empenhadas - R$ '[2024']]]</f>
        <v>32014034.199999988</v>
      </c>
      <c r="P47" s="1">
        <f>(Tabela1[[#This Row],[Total de receitas brutas realizadas - R$ '[2024']]]-Tabela1[[#This Row],[Total de despesas brutas empenhadas - R$ '[2024']]])/Tabela1[[#This Row],[População estimada - pessoas '[2025']]]</f>
        <v>383.48427445437324</v>
      </c>
      <c r="Q47" s="1">
        <f>Tabela1[[#This Row],[Total de receitas brutas realizadas - R$ '[2024']]]/Tabela1[[#This Row],[População estimada - pessoas '[2025']]]</f>
        <v>3957.203733499437</v>
      </c>
      <c r="R4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48" spans="1:18" x14ac:dyDescent="0.25">
      <c r="A48" t="s">
        <v>147</v>
      </c>
      <c r="B48">
        <v>2604106</v>
      </c>
      <c r="C48" t="s">
        <v>148</v>
      </c>
      <c r="D48" t="s">
        <v>149</v>
      </c>
      <c r="E48">
        <v>919.06899999999996</v>
      </c>
      <c r="F48">
        <v>378048</v>
      </c>
      <c r="G48">
        <v>409.52</v>
      </c>
      <c r="H48">
        <v>405408</v>
      </c>
      <c r="I48">
        <v>97.41</v>
      </c>
      <c r="J48">
        <v>0.67700000000000005</v>
      </c>
      <c r="K48">
        <v>12.64</v>
      </c>
      <c r="L48" s="1">
        <v>1547948338.8800001</v>
      </c>
      <c r="M48" s="1">
        <v>1572871614.23</v>
      </c>
      <c r="N48" s="1">
        <v>23456.58</v>
      </c>
      <c r="O48" s="3">
        <f>Tabela1[[#This Row],[Total de receitas brutas realizadas - R$ '[2024']]]-Tabela1[[#This Row],[Total de despesas brutas empenhadas - R$ '[2024']]]</f>
        <v>-24923275.349999905</v>
      </c>
      <c r="P48" s="1">
        <f>(Tabela1[[#This Row],[Total de receitas brutas realizadas - R$ '[2024']]]-Tabela1[[#This Row],[Total de despesas brutas empenhadas - R$ '[2024']]])/Tabela1[[#This Row],[População estimada - pessoas '[2025']]]</f>
        <v>-61.477019077077671</v>
      </c>
      <c r="Q48" s="1">
        <f>Tabela1[[#This Row],[Total de receitas brutas realizadas - R$ '[2024']]]/Tabela1[[#This Row],[População estimada - pessoas '[2025']]]</f>
        <v>3818.248132449286</v>
      </c>
      <c r="R4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49" spans="1:18" x14ac:dyDescent="0.25">
      <c r="A49" t="s">
        <v>150</v>
      </c>
      <c r="B49">
        <v>2604155</v>
      </c>
      <c r="C49" t="s">
        <v>151</v>
      </c>
      <c r="D49" t="s">
        <v>152</v>
      </c>
      <c r="E49">
        <v>116.833</v>
      </c>
      <c r="F49">
        <v>12967</v>
      </c>
      <c r="G49">
        <v>111.91</v>
      </c>
      <c r="H49">
        <v>13468</v>
      </c>
      <c r="I49">
        <v>99.36</v>
      </c>
      <c r="J49">
        <v>0.56699999999999995</v>
      </c>
      <c r="K49">
        <v>5.88</v>
      </c>
      <c r="L49" s="1">
        <v>109568394.36</v>
      </c>
      <c r="M49" s="1">
        <v>97033488.200000003</v>
      </c>
      <c r="N49" s="1">
        <v>7052.53</v>
      </c>
      <c r="O49" s="3">
        <f>Tabela1[[#This Row],[Total de receitas brutas realizadas - R$ '[2024']]]-Tabela1[[#This Row],[Total de despesas brutas empenhadas - R$ '[2024']]]</f>
        <v>12534906.159999996</v>
      </c>
      <c r="P49" s="1">
        <f>(Tabela1[[#This Row],[Total de receitas brutas realizadas - R$ '[2024']]]-Tabela1[[#This Row],[Total de despesas brutas empenhadas - R$ '[2024']]])/Tabela1[[#This Row],[População estimada - pessoas '[2025']]]</f>
        <v>930.71771309771282</v>
      </c>
      <c r="Q49" s="1">
        <f>Tabela1[[#This Row],[Total de receitas brutas realizadas - R$ '[2024']]]/Tabela1[[#This Row],[População estimada - pessoas '[2025']]]</f>
        <v>8135.4614166914171</v>
      </c>
      <c r="R4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50" spans="1:18" x14ac:dyDescent="0.25">
      <c r="A50" t="s">
        <v>153</v>
      </c>
      <c r="B50">
        <v>2604205</v>
      </c>
      <c r="C50" t="s">
        <v>154</v>
      </c>
      <c r="D50" t="s">
        <v>155</v>
      </c>
      <c r="E50">
        <v>208.59399999999999</v>
      </c>
      <c r="F50">
        <v>32156</v>
      </c>
      <c r="G50">
        <v>154.16</v>
      </c>
      <c r="H50">
        <v>33086</v>
      </c>
      <c r="I50">
        <v>98.4</v>
      </c>
      <c r="J50">
        <v>0.60899999999999999</v>
      </c>
      <c r="K50">
        <v>10.02</v>
      </c>
      <c r="L50" s="1">
        <v>151884422.71000001</v>
      </c>
      <c r="M50" s="1">
        <v>142684210.44</v>
      </c>
      <c r="N50" s="1">
        <v>8236.25</v>
      </c>
      <c r="O50" s="3">
        <f>Tabela1[[#This Row],[Total de receitas brutas realizadas - R$ '[2024']]]-Tabela1[[#This Row],[Total de despesas brutas empenhadas - R$ '[2024']]]</f>
        <v>9200212.2700000107</v>
      </c>
      <c r="P50" s="1">
        <f>(Tabela1[[#This Row],[Total de receitas brutas realizadas - R$ '[2024']]]-Tabela1[[#This Row],[Total de despesas brutas empenhadas - R$ '[2024']]])/Tabela1[[#This Row],[População estimada - pessoas '[2025']]]</f>
        <v>278.06964486489784</v>
      </c>
      <c r="Q50" s="1">
        <f>Tabela1[[#This Row],[Total de receitas brutas realizadas - R$ '[2024']]]/Tabela1[[#This Row],[População estimada - pessoas '[2025']]]</f>
        <v>4590.5948954240466</v>
      </c>
      <c r="R5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51" spans="1:18" x14ac:dyDescent="0.25">
      <c r="A51" t="s">
        <v>156</v>
      </c>
      <c r="B51">
        <v>2604304</v>
      </c>
      <c r="C51" t="s">
        <v>157</v>
      </c>
      <c r="D51" t="s">
        <v>158</v>
      </c>
      <c r="E51">
        <v>148.74600000000001</v>
      </c>
      <c r="F51">
        <v>10518</v>
      </c>
      <c r="G51">
        <v>70.709999999999994</v>
      </c>
      <c r="H51">
        <v>10843</v>
      </c>
      <c r="I51">
        <v>98.9</v>
      </c>
      <c r="J51">
        <v>0.61499999999999999</v>
      </c>
      <c r="K51">
        <v>13.79</v>
      </c>
      <c r="L51" s="1">
        <v>69193184.579999998</v>
      </c>
      <c r="M51" s="1">
        <v>62938354.579999998</v>
      </c>
      <c r="N51" s="1">
        <v>10474.549999999999</v>
      </c>
      <c r="O51" s="3">
        <f>Tabela1[[#This Row],[Total de receitas brutas realizadas - R$ '[2024']]]-Tabela1[[#This Row],[Total de despesas brutas empenhadas - R$ '[2024']]]</f>
        <v>6254830</v>
      </c>
      <c r="P51" s="1">
        <f>(Tabela1[[#This Row],[Total de receitas brutas realizadas - R$ '[2024']]]-Tabela1[[#This Row],[Total de despesas brutas empenhadas - R$ '[2024']]])/Tabela1[[#This Row],[População estimada - pessoas '[2025']]]</f>
        <v>576.85419164437883</v>
      </c>
      <c r="Q51" s="1">
        <f>Tabela1[[#This Row],[Total de receitas brutas realizadas - R$ '[2024']]]/Tabela1[[#This Row],[População estimada - pessoas '[2025']]]</f>
        <v>6381.3690473116294</v>
      </c>
      <c r="R5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52" spans="1:18" x14ac:dyDescent="0.25">
      <c r="A52" t="s">
        <v>159</v>
      </c>
      <c r="B52">
        <v>2604403</v>
      </c>
      <c r="C52" t="s">
        <v>160</v>
      </c>
      <c r="D52" t="s">
        <v>161</v>
      </c>
      <c r="E52">
        <v>49.326999999999998</v>
      </c>
      <c r="F52">
        <v>12984</v>
      </c>
      <c r="G52">
        <v>263.22000000000003</v>
      </c>
      <c r="H52">
        <v>13496</v>
      </c>
      <c r="I52">
        <v>98.82</v>
      </c>
      <c r="J52">
        <v>0.60399999999999998</v>
      </c>
      <c r="K52">
        <v>5.52</v>
      </c>
      <c r="L52" s="1">
        <v>85360440.930000007</v>
      </c>
      <c r="M52" s="1">
        <v>74042802.439999998</v>
      </c>
      <c r="N52" s="1">
        <v>12371.37</v>
      </c>
      <c r="O52" s="3">
        <f>Tabela1[[#This Row],[Total de receitas brutas realizadas - R$ '[2024']]]-Tabela1[[#This Row],[Total de despesas brutas empenhadas - R$ '[2024']]]</f>
        <v>11317638.49000001</v>
      </c>
      <c r="P52" s="1">
        <f>(Tabela1[[#This Row],[Total de receitas brutas realizadas - R$ '[2024']]]-Tabela1[[#This Row],[Total de despesas brutas empenhadas - R$ '[2024']]])/Tabela1[[#This Row],[População estimada - pessoas '[2025']]]</f>
        <v>838.59206357439314</v>
      </c>
      <c r="Q52" s="1">
        <f>Tabela1[[#This Row],[Total de receitas brutas realizadas - R$ '[2024']]]/Tabela1[[#This Row],[População estimada - pessoas '[2025']]]</f>
        <v>6324.8696598992301</v>
      </c>
      <c r="R5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53" spans="1:18" x14ac:dyDescent="0.25">
      <c r="A53" t="s">
        <v>162</v>
      </c>
      <c r="B53">
        <v>2604502</v>
      </c>
      <c r="C53" t="s">
        <v>163</v>
      </c>
      <c r="D53" t="s">
        <v>164</v>
      </c>
      <c r="E53">
        <v>84.787000000000006</v>
      </c>
      <c r="F53">
        <v>20546</v>
      </c>
      <c r="G53">
        <v>242.32</v>
      </c>
      <c r="H53">
        <v>21258</v>
      </c>
      <c r="I53">
        <v>97.59</v>
      </c>
      <c r="J53">
        <v>0.59899999999999998</v>
      </c>
      <c r="K53">
        <v>3.7</v>
      </c>
      <c r="L53" s="1">
        <v>154825096.33000001</v>
      </c>
      <c r="M53" s="1">
        <v>149274220.13</v>
      </c>
      <c r="N53" s="1">
        <v>11454.82</v>
      </c>
      <c r="O53" s="3">
        <f>Tabela1[[#This Row],[Total de receitas brutas realizadas - R$ '[2024']]]-Tabela1[[#This Row],[Total de despesas brutas empenhadas - R$ '[2024']]]</f>
        <v>5550876.2000000179</v>
      </c>
      <c r="P53" s="1">
        <f>(Tabela1[[#This Row],[Total de receitas brutas realizadas - R$ '[2024']]]-Tabela1[[#This Row],[Total de despesas brutas empenhadas - R$ '[2024']]])/Tabela1[[#This Row],[População estimada - pessoas '[2025']]]</f>
        <v>261.11939975538706</v>
      </c>
      <c r="Q53" s="1">
        <f>Tabela1[[#This Row],[Total de receitas brutas realizadas - R$ '[2024']]]/Tabela1[[#This Row],[População estimada - pessoas '[2025']]]</f>
        <v>7283.1449962367114</v>
      </c>
      <c r="R5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54" spans="1:18" x14ac:dyDescent="0.25">
      <c r="A54" t="s">
        <v>165</v>
      </c>
      <c r="B54">
        <v>2604601</v>
      </c>
      <c r="C54" t="s">
        <v>166</v>
      </c>
      <c r="D54" t="s">
        <v>167</v>
      </c>
      <c r="E54">
        <v>89.644999999999996</v>
      </c>
      <c r="F54">
        <v>24587</v>
      </c>
      <c r="G54">
        <v>274.27</v>
      </c>
      <c r="H54">
        <v>25416</v>
      </c>
      <c r="I54">
        <v>99.41</v>
      </c>
      <c r="J54">
        <v>0.60199999999999998</v>
      </c>
      <c r="K54">
        <v>12.58</v>
      </c>
      <c r="L54" s="1">
        <v>124278002.09</v>
      </c>
      <c r="M54" s="1">
        <v>129324575.03</v>
      </c>
      <c r="N54" s="1">
        <v>9378.26</v>
      </c>
      <c r="O54" s="3">
        <f>Tabela1[[#This Row],[Total de receitas brutas realizadas - R$ '[2024']]]-Tabela1[[#This Row],[Total de despesas brutas empenhadas - R$ '[2024']]]</f>
        <v>-5046572.9399999976</v>
      </c>
      <c r="P54" s="1">
        <f>(Tabela1[[#This Row],[Total de receitas brutas realizadas - R$ '[2024']]]-Tabela1[[#This Row],[Total de despesas brutas empenhadas - R$ '[2024']]])/Tabela1[[#This Row],[População estimada - pessoas '[2025']]]</f>
        <v>-198.55889754485355</v>
      </c>
      <c r="Q54" s="1">
        <f>Tabela1[[#This Row],[Total de receitas brutas realizadas - R$ '[2024']]]/Tabela1[[#This Row],[População estimada - pessoas '[2025']]]</f>
        <v>4889.754567595216</v>
      </c>
      <c r="R5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55" spans="1:18" x14ac:dyDescent="0.25">
      <c r="A55" t="s">
        <v>168</v>
      </c>
      <c r="B55">
        <v>2604700</v>
      </c>
      <c r="C55" t="s">
        <v>169</v>
      </c>
      <c r="D55" t="s">
        <v>170</v>
      </c>
      <c r="E55">
        <v>317.79300000000001</v>
      </c>
      <c r="F55">
        <v>17131</v>
      </c>
      <c r="G55">
        <v>53.91</v>
      </c>
      <c r="H55">
        <v>17670</v>
      </c>
      <c r="I55">
        <v>99.77</v>
      </c>
      <c r="J55">
        <v>0.53600000000000003</v>
      </c>
      <c r="K55">
        <v>5.05</v>
      </c>
      <c r="L55" s="1">
        <v>88860599.459999993</v>
      </c>
      <c r="M55" s="1">
        <v>94656389.620000005</v>
      </c>
      <c r="N55" s="1">
        <v>10477.19</v>
      </c>
      <c r="O55" s="3">
        <f>Tabela1[[#This Row],[Total de receitas brutas realizadas - R$ '[2024']]]-Tabela1[[#This Row],[Total de despesas brutas empenhadas - R$ '[2024']]]</f>
        <v>-5795790.1600000113</v>
      </c>
      <c r="P55" s="1">
        <f>(Tabela1[[#This Row],[Total de receitas brutas realizadas - R$ '[2024']]]-Tabela1[[#This Row],[Total de despesas brutas empenhadas - R$ '[2024']]])/Tabela1[[#This Row],[População estimada - pessoas '[2025']]]</f>
        <v>-328.00170684776521</v>
      </c>
      <c r="Q55" s="1">
        <f>Tabela1[[#This Row],[Total de receitas brutas realizadas - R$ '[2024']]]/Tabela1[[#This Row],[População estimada - pessoas '[2025']]]</f>
        <v>5028.8964040747023</v>
      </c>
      <c r="R5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56" spans="1:18" x14ac:dyDescent="0.25">
      <c r="A56" t="s">
        <v>171</v>
      </c>
      <c r="B56">
        <v>2604809</v>
      </c>
      <c r="C56" t="s">
        <v>172</v>
      </c>
      <c r="D56" t="s">
        <v>173</v>
      </c>
      <c r="E56">
        <v>103.416</v>
      </c>
      <c r="F56">
        <v>10198</v>
      </c>
      <c r="G56">
        <v>99.15</v>
      </c>
      <c r="H56">
        <v>10426</v>
      </c>
      <c r="I56">
        <v>98.97</v>
      </c>
      <c r="J56">
        <v>0.56799999999999995</v>
      </c>
      <c r="K56">
        <v>20.55</v>
      </c>
      <c r="L56" s="1">
        <v>80861151.620000005</v>
      </c>
      <c r="M56" s="1">
        <v>77160500.109999999</v>
      </c>
      <c r="N56" s="1">
        <v>9686.8700000000008</v>
      </c>
      <c r="O56" s="3">
        <f>Tabela1[[#This Row],[Total de receitas brutas realizadas - R$ '[2024']]]-Tabela1[[#This Row],[Total de despesas brutas empenhadas - R$ '[2024']]]</f>
        <v>3700651.5100000054</v>
      </c>
      <c r="P56" s="1">
        <f>(Tabela1[[#This Row],[Total de receitas brutas realizadas - R$ '[2024']]]-Tabela1[[#This Row],[Total de despesas brutas empenhadas - R$ '[2024']]])/Tabela1[[#This Row],[População estimada - pessoas '[2025']]]</f>
        <v>354.94451467485186</v>
      </c>
      <c r="Q56" s="1">
        <f>Tabela1[[#This Row],[Total de receitas brutas realizadas - R$ '[2024']]]/Tabela1[[#This Row],[População estimada - pessoas '[2025']]]</f>
        <v>7755.7214291195096</v>
      </c>
      <c r="R5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57" spans="1:18" x14ac:dyDescent="0.25">
      <c r="A57" t="s">
        <v>174</v>
      </c>
      <c r="B57">
        <v>2604908</v>
      </c>
      <c r="C57" t="s">
        <v>175</v>
      </c>
      <c r="D57" t="s">
        <v>176</v>
      </c>
      <c r="E57">
        <v>291.42899999999997</v>
      </c>
      <c r="F57">
        <v>15920</v>
      </c>
      <c r="G57">
        <v>54.48</v>
      </c>
      <c r="H57">
        <v>16215</v>
      </c>
      <c r="I57">
        <v>98.83</v>
      </c>
      <c r="J57">
        <v>0.57199999999999995</v>
      </c>
      <c r="K57">
        <v>12.99</v>
      </c>
      <c r="L57" s="1">
        <v>109093952.06</v>
      </c>
      <c r="M57" s="1">
        <v>100074293.18000001</v>
      </c>
      <c r="N57" s="1">
        <v>11508.33</v>
      </c>
      <c r="O57" s="3">
        <f>Tabela1[[#This Row],[Total de receitas brutas realizadas - R$ '[2024']]]-Tabela1[[#This Row],[Total de despesas brutas empenhadas - R$ '[2024']]]</f>
        <v>9019658.8799999952</v>
      </c>
      <c r="P57" s="1">
        <f>(Tabela1[[#This Row],[Total de receitas brutas realizadas - R$ '[2024']]]-Tabela1[[#This Row],[Total de despesas brutas empenhadas - R$ '[2024']]])/Tabela1[[#This Row],[População estimada - pessoas '[2025']]]</f>
        <v>556.25401665124855</v>
      </c>
      <c r="Q57" s="1">
        <f>Tabela1[[#This Row],[Total de receitas brutas realizadas - R$ '[2024']]]/Tabela1[[#This Row],[População estimada - pessoas '[2025']]]</f>
        <v>6727.9649744064136</v>
      </c>
      <c r="R5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58" spans="1:18" x14ac:dyDescent="0.25">
      <c r="A58" t="s">
        <v>177</v>
      </c>
      <c r="B58">
        <v>2605004</v>
      </c>
      <c r="C58" t="s">
        <v>178</v>
      </c>
      <c r="D58" t="s">
        <v>179</v>
      </c>
      <c r="E58">
        <v>95.149000000000001</v>
      </c>
      <c r="F58">
        <v>23518</v>
      </c>
      <c r="G58">
        <v>247.15</v>
      </c>
      <c r="H58">
        <v>24343</v>
      </c>
      <c r="I58">
        <v>98.07</v>
      </c>
      <c r="J58">
        <v>0.59199999999999997</v>
      </c>
      <c r="K58">
        <v>12.38</v>
      </c>
      <c r="L58" s="1">
        <v>142621275.22</v>
      </c>
      <c r="M58" s="1">
        <v>127483103.92</v>
      </c>
      <c r="N58" s="1">
        <v>11700.13</v>
      </c>
      <c r="O58" s="3">
        <f>Tabela1[[#This Row],[Total de receitas brutas realizadas - R$ '[2024']]]-Tabela1[[#This Row],[Total de despesas brutas empenhadas - R$ '[2024']]]</f>
        <v>15138171.299999997</v>
      </c>
      <c r="P58" s="1">
        <f>(Tabela1[[#This Row],[Total de receitas brutas realizadas - R$ '[2024']]]-Tabela1[[#This Row],[Total de despesas brutas empenhadas - R$ '[2024']]])/Tabela1[[#This Row],[População estimada - pessoas '[2025']]]</f>
        <v>621.86958468553576</v>
      </c>
      <c r="Q58" s="1">
        <f>Tabela1[[#This Row],[Total de receitas brutas realizadas - R$ '[2024']]]/Tabela1[[#This Row],[População estimada - pessoas '[2025']]]</f>
        <v>5858.8208199482397</v>
      </c>
      <c r="R5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59" spans="1:18" x14ac:dyDescent="0.25">
      <c r="A59" t="s">
        <v>180</v>
      </c>
      <c r="B59">
        <v>2605103</v>
      </c>
      <c r="C59" t="s">
        <v>181</v>
      </c>
      <c r="D59" t="s">
        <v>182</v>
      </c>
      <c r="E59">
        <v>1382.059</v>
      </c>
      <c r="F59">
        <v>37699</v>
      </c>
      <c r="G59">
        <v>26.85</v>
      </c>
      <c r="H59">
        <v>39609</v>
      </c>
      <c r="I59">
        <v>99.07</v>
      </c>
      <c r="J59">
        <v>0.59399999999999997</v>
      </c>
      <c r="K59">
        <v>17.059999999999999</v>
      </c>
      <c r="L59" s="1">
        <v>211493750.36000001</v>
      </c>
      <c r="M59" s="1">
        <v>204305167.13999999</v>
      </c>
      <c r="N59" s="1">
        <v>15780.83</v>
      </c>
      <c r="O59" s="3">
        <f>Tabela1[[#This Row],[Total de receitas brutas realizadas - R$ '[2024']]]-Tabela1[[#This Row],[Total de despesas brutas empenhadas - R$ '[2024']]]</f>
        <v>7188583.2200000286</v>
      </c>
      <c r="P59" s="1">
        <f>(Tabela1[[#This Row],[Total de receitas brutas realizadas - R$ '[2024']]]-Tabela1[[#This Row],[Total de despesas brutas empenhadas - R$ '[2024']]])/Tabela1[[#This Row],[População estimada - pessoas '[2025']]]</f>
        <v>181.48863187659444</v>
      </c>
      <c r="Q59" s="1">
        <f>Tabela1[[#This Row],[Total de receitas brutas realizadas - R$ '[2024']]]/Tabela1[[#This Row],[População estimada - pessoas '[2025']]]</f>
        <v>5339.5377404125329</v>
      </c>
      <c r="R5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60" spans="1:18" x14ac:dyDescent="0.25">
      <c r="A60" t="s">
        <v>183</v>
      </c>
      <c r="B60">
        <v>2605152</v>
      </c>
      <c r="C60" t="s">
        <v>184</v>
      </c>
      <c r="D60" t="s">
        <v>185</v>
      </c>
      <c r="E60">
        <v>1539.0519999999999</v>
      </c>
      <c r="F60">
        <v>17188</v>
      </c>
      <c r="G60">
        <v>11.17</v>
      </c>
      <c r="H60">
        <v>17850</v>
      </c>
      <c r="I60">
        <v>99.48</v>
      </c>
      <c r="J60">
        <v>0.58899999999999997</v>
      </c>
      <c r="K60">
        <v>25.38</v>
      </c>
      <c r="L60" s="1">
        <v>117639910.31</v>
      </c>
      <c r="M60" s="1">
        <v>118640651.02</v>
      </c>
      <c r="N60" s="1">
        <v>12783.05</v>
      </c>
      <c r="O60" s="3">
        <f>Tabela1[[#This Row],[Total de receitas brutas realizadas - R$ '[2024']]]-Tabela1[[#This Row],[Total de despesas brutas empenhadas - R$ '[2024']]]</f>
        <v>-1000740.7099999934</v>
      </c>
      <c r="P60" s="1">
        <f>(Tabela1[[#This Row],[Total de receitas brutas realizadas - R$ '[2024']]]-Tabela1[[#This Row],[Total de despesas brutas empenhadas - R$ '[2024']]])/Tabela1[[#This Row],[População estimada - pessoas '[2025']]]</f>
        <v>-56.063905322128484</v>
      </c>
      <c r="Q60" s="1">
        <f>Tabela1[[#This Row],[Total de receitas brutas realizadas - R$ '[2024']]]/Tabela1[[#This Row],[População estimada - pessoas '[2025']]]</f>
        <v>6590.4711658263304</v>
      </c>
      <c r="R6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61" spans="1:18" x14ac:dyDescent="0.25">
      <c r="A61" t="s">
        <v>186</v>
      </c>
      <c r="B61">
        <v>2605202</v>
      </c>
      <c r="C61" t="s">
        <v>187</v>
      </c>
      <c r="D61" t="s">
        <v>188</v>
      </c>
      <c r="E61">
        <v>342.15600000000001</v>
      </c>
      <c r="F61">
        <v>59891</v>
      </c>
      <c r="G61">
        <v>174.82</v>
      </c>
      <c r="H61">
        <v>62174</v>
      </c>
      <c r="I61">
        <v>99.3</v>
      </c>
      <c r="J61">
        <v>0.63200000000000001</v>
      </c>
      <c r="K61">
        <v>12.14</v>
      </c>
      <c r="L61" s="1">
        <v>241993875.75999999</v>
      </c>
      <c r="M61" s="1">
        <v>283811486.26999998</v>
      </c>
      <c r="N61" s="1">
        <v>18743.36</v>
      </c>
      <c r="O61" s="3">
        <f>Tabela1[[#This Row],[Total de receitas brutas realizadas - R$ '[2024']]]-Tabela1[[#This Row],[Total de despesas brutas empenhadas - R$ '[2024']]]</f>
        <v>-41817610.50999999</v>
      </c>
      <c r="P61" s="1">
        <f>(Tabela1[[#This Row],[Total de receitas brutas realizadas - R$ '[2024']]]-Tabela1[[#This Row],[Total de despesas brutas empenhadas - R$ '[2024']]])/Tabela1[[#This Row],[População estimada - pessoas '[2025']]]</f>
        <v>-672.58999758741584</v>
      </c>
      <c r="Q61" s="1">
        <f>Tabela1[[#This Row],[Total de receitas brutas realizadas - R$ '[2024']]]/Tabela1[[#This Row],[População estimada - pessoas '[2025']]]</f>
        <v>3892.2037469038505</v>
      </c>
      <c r="R6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62" spans="1:18" x14ac:dyDescent="0.25">
      <c r="A62" t="s">
        <v>189</v>
      </c>
      <c r="B62">
        <v>2605301</v>
      </c>
      <c r="C62" t="s">
        <v>190</v>
      </c>
      <c r="D62" t="s">
        <v>191</v>
      </c>
      <c r="E62">
        <v>1336.7860000000001</v>
      </c>
      <c r="F62">
        <v>31843</v>
      </c>
      <c r="G62">
        <v>23.82</v>
      </c>
      <c r="H62">
        <v>33486</v>
      </c>
      <c r="I62">
        <v>97.81</v>
      </c>
      <c r="J62">
        <v>0.57599999999999996</v>
      </c>
      <c r="K62">
        <v>7.92</v>
      </c>
      <c r="L62" s="1">
        <v>182958399.24000001</v>
      </c>
      <c r="M62" s="1">
        <v>171965971.91999999</v>
      </c>
      <c r="N62" s="1">
        <v>10253.15</v>
      </c>
      <c r="O62" s="3">
        <f>Tabela1[[#This Row],[Total de receitas brutas realizadas - R$ '[2024']]]-Tabela1[[#This Row],[Total de despesas brutas empenhadas - R$ '[2024']]]</f>
        <v>10992427.320000023</v>
      </c>
      <c r="P62" s="1">
        <f>(Tabela1[[#This Row],[Total de receitas brutas realizadas - R$ '[2024']]]-Tabela1[[#This Row],[Total de despesas brutas empenhadas - R$ '[2024']]])/Tabela1[[#This Row],[População estimada - pessoas '[2025']]]</f>
        <v>328.26934599534201</v>
      </c>
      <c r="Q62" s="1">
        <f>Tabela1[[#This Row],[Total de receitas brutas realizadas - R$ '[2024']]]/Tabela1[[#This Row],[População estimada - pessoas '[2025']]]</f>
        <v>5463.7281024905933</v>
      </c>
      <c r="R6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63" spans="1:18" x14ac:dyDescent="0.25">
      <c r="A63" t="s">
        <v>192</v>
      </c>
      <c r="B63">
        <v>2605400</v>
      </c>
      <c r="C63" t="s">
        <v>193</v>
      </c>
      <c r="D63" t="s">
        <v>194</v>
      </c>
      <c r="E63">
        <v>107.726</v>
      </c>
      <c r="F63">
        <v>21427</v>
      </c>
      <c r="G63">
        <v>198.9</v>
      </c>
      <c r="H63">
        <v>22222</v>
      </c>
      <c r="I63">
        <v>97.86</v>
      </c>
      <c r="J63">
        <v>0.6</v>
      </c>
      <c r="K63">
        <v>7.07</v>
      </c>
      <c r="L63" s="1">
        <v>120076307.84999999</v>
      </c>
      <c r="M63" s="1">
        <v>114283353.56</v>
      </c>
      <c r="N63" s="1">
        <v>11071.1</v>
      </c>
      <c r="O63" s="3">
        <f>Tabela1[[#This Row],[Total de receitas brutas realizadas - R$ '[2024']]]-Tabela1[[#This Row],[Total de despesas brutas empenhadas - R$ '[2024']]]</f>
        <v>5792954.2899999917</v>
      </c>
      <c r="P63" s="1">
        <f>(Tabela1[[#This Row],[Total de receitas brutas realizadas - R$ '[2024']]]-Tabela1[[#This Row],[Total de despesas brutas empenhadas - R$ '[2024']]])/Tabela1[[#This Row],[População estimada - pessoas '[2025']]]</f>
        <v>260.6855499054987</v>
      </c>
      <c r="Q63" s="1">
        <f>Tabela1[[#This Row],[Total de receitas brutas realizadas - R$ '[2024']]]/Tabela1[[#This Row],[População estimada - pessoas '[2025']]]</f>
        <v>5403.4878881288814</v>
      </c>
      <c r="R6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64" spans="1:18" x14ac:dyDescent="0.25">
      <c r="A64" t="s">
        <v>195</v>
      </c>
      <c r="B64">
        <v>2605459</v>
      </c>
      <c r="C64" t="s">
        <v>196</v>
      </c>
      <c r="D64" t="s">
        <v>197</v>
      </c>
      <c r="E64">
        <v>18.609000000000002</v>
      </c>
      <c r="F64">
        <v>3167</v>
      </c>
      <c r="G64">
        <v>170.19</v>
      </c>
      <c r="H64">
        <v>3341</v>
      </c>
      <c r="I64">
        <v>98.85</v>
      </c>
      <c r="J64">
        <v>0.78800000000000003</v>
      </c>
      <c r="K64" t="s">
        <v>24</v>
      </c>
      <c r="L64" s="1" t="s">
        <v>24</v>
      </c>
      <c r="M64" s="1" t="s">
        <v>24</v>
      </c>
      <c r="N64" s="1">
        <v>73108.78</v>
      </c>
      <c r="O64" s="3" t="e">
        <f>Tabela1[[#This Row],[Total de receitas brutas realizadas - R$ '[2024']]]-Tabela1[[#This Row],[Total de despesas brutas empenhadas - R$ '[2024']]]</f>
        <v>#VALUE!</v>
      </c>
      <c r="P64" s="1" t="e">
        <f>(Tabela1[[#This Row],[Total de receitas brutas realizadas - R$ '[2024']]]-Tabela1[[#This Row],[Total de despesas brutas empenhadas - R$ '[2024']]])/Tabela1[[#This Row],[População estimada - pessoas '[2025']]]</f>
        <v>#VALUE!</v>
      </c>
      <c r="Q64" s="1" t="e">
        <f>Tabela1[[#This Row],[Total de receitas brutas realizadas - R$ '[2024']]]/Tabela1[[#This Row],[População estimada - pessoas '[2025']]]</f>
        <v>#VALUE!</v>
      </c>
      <c r="R6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Alto</v>
      </c>
    </row>
    <row r="65" spans="1:18" x14ac:dyDescent="0.25">
      <c r="A65" t="s">
        <v>198</v>
      </c>
      <c r="B65">
        <v>2605509</v>
      </c>
      <c r="C65" t="s">
        <v>199</v>
      </c>
      <c r="D65" t="s">
        <v>200</v>
      </c>
      <c r="E65">
        <v>92.516000000000005</v>
      </c>
      <c r="F65">
        <v>15026</v>
      </c>
      <c r="G65">
        <v>162.41999999999999</v>
      </c>
      <c r="H65">
        <v>15955</v>
      </c>
      <c r="I65">
        <v>98.98</v>
      </c>
      <c r="J65">
        <v>0.622</v>
      </c>
      <c r="K65" t="s">
        <v>24</v>
      </c>
      <c r="L65" s="1">
        <v>68640317.599999994</v>
      </c>
      <c r="M65" s="1">
        <v>61830573.710000001</v>
      </c>
      <c r="N65" s="1">
        <v>10846.66</v>
      </c>
      <c r="O65" s="3">
        <f>Tabela1[[#This Row],[Total de receitas brutas realizadas - R$ '[2024']]]-Tabela1[[#This Row],[Total de despesas brutas empenhadas - R$ '[2024']]]</f>
        <v>6809743.8899999931</v>
      </c>
      <c r="P65" s="1">
        <f>(Tabela1[[#This Row],[Total de receitas brutas realizadas - R$ '[2024']]]-Tabela1[[#This Row],[Total de despesas brutas empenhadas - R$ '[2024']]])/Tabela1[[#This Row],[População estimada - pessoas '[2025']]]</f>
        <v>426.80939454716349</v>
      </c>
      <c r="Q65" s="1">
        <f>Tabela1[[#This Row],[Total de receitas brutas realizadas - R$ '[2024']]]/Tabela1[[#This Row],[População estimada - pessoas '[2025']]]</f>
        <v>4302.1195612660604</v>
      </c>
      <c r="R6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66" spans="1:18" x14ac:dyDescent="0.25">
      <c r="A66" t="s">
        <v>201</v>
      </c>
      <c r="B66">
        <v>2605608</v>
      </c>
      <c r="C66" t="s">
        <v>202</v>
      </c>
      <c r="D66" t="s">
        <v>203</v>
      </c>
      <c r="E66">
        <v>995.55799999999999</v>
      </c>
      <c r="F66">
        <v>20347</v>
      </c>
      <c r="G66">
        <v>20.440000000000001</v>
      </c>
      <c r="H66">
        <v>20776</v>
      </c>
      <c r="I66">
        <v>99.63</v>
      </c>
      <c r="J66">
        <v>0.55600000000000005</v>
      </c>
      <c r="K66">
        <v>9.57</v>
      </c>
      <c r="L66" s="1">
        <v>121832608.14</v>
      </c>
      <c r="M66" s="1">
        <v>123868824.62</v>
      </c>
      <c r="N66" s="1">
        <v>8530.94</v>
      </c>
      <c r="O66" s="3">
        <f>Tabela1[[#This Row],[Total de receitas brutas realizadas - R$ '[2024']]]-Tabela1[[#This Row],[Total de despesas brutas empenhadas - R$ '[2024']]]</f>
        <v>-2036216.4800000042</v>
      </c>
      <c r="P66" s="1">
        <f>(Tabela1[[#This Row],[Total de receitas brutas realizadas - R$ '[2024']]]-Tabela1[[#This Row],[Total de despesas brutas empenhadas - R$ '[2024']]])/Tabela1[[#This Row],[População estimada - pessoas '[2025']]]</f>
        <v>-98.008109356950527</v>
      </c>
      <c r="Q66" s="1">
        <f>Tabela1[[#This Row],[Total de receitas brutas realizadas - R$ '[2024']]]/Tabela1[[#This Row],[População estimada - pessoas '[2025']]]</f>
        <v>5864.1032027339234</v>
      </c>
      <c r="R6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67" spans="1:18" x14ac:dyDescent="0.25">
      <c r="A67" t="s">
        <v>204</v>
      </c>
      <c r="B67">
        <v>2605707</v>
      </c>
      <c r="C67" t="s">
        <v>205</v>
      </c>
      <c r="D67" t="s">
        <v>206</v>
      </c>
      <c r="E67">
        <v>3637.2469999999998</v>
      </c>
      <c r="F67">
        <v>30137</v>
      </c>
      <c r="G67">
        <v>8.36</v>
      </c>
      <c r="H67">
        <v>31702</v>
      </c>
      <c r="I67">
        <v>98.93</v>
      </c>
      <c r="J67">
        <v>0.626</v>
      </c>
      <c r="K67">
        <v>18.29</v>
      </c>
      <c r="L67" s="1">
        <v>169055107.74000001</v>
      </c>
      <c r="M67" s="1">
        <v>171334450.49000001</v>
      </c>
      <c r="N67" s="1">
        <v>13294.71</v>
      </c>
      <c r="O67" s="3">
        <f>Tabela1[[#This Row],[Total de receitas brutas realizadas - R$ '[2024']]]-Tabela1[[#This Row],[Total de despesas brutas empenhadas - R$ '[2024']]]</f>
        <v>-2279342.75</v>
      </c>
      <c r="P67" s="1">
        <f>(Tabela1[[#This Row],[Total de receitas brutas realizadas - R$ '[2024']]]-Tabela1[[#This Row],[Total de despesas brutas empenhadas - R$ '[2024']]])/Tabela1[[#This Row],[População estimada - pessoas '[2025']]]</f>
        <v>-71.899020566525778</v>
      </c>
      <c r="Q67" s="1">
        <f>Tabela1[[#This Row],[Total de receitas brutas realizadas - R$ '[2024']]]/Tabela1[[#This Row],[População estimada - pessoas '[2025']]]</f>
        <v>5332.6322547473346</v>
      </c>
      <c r="R6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68" spans="1:18" x14ac:dyDescent="0.25">
      <c r="A68" t="s">
        <v>207</v>
      </c>
      <c r="B68">
        <v>2605806</v>
      </c>
      <c r="C68" t="s">
        <v>208</v>
      </c>
      <c r="D68" t="s">
        <v>209</v>
      </c>
      <c r="E68">
        <v>213.73500000000001</v>
      </c>
      <c r="F68">
        <v>13636</v>
      </c>
      <c r="G68">
        <v>64.11</v>
      </c>
      <c r="H68">
        <v>14055</v>
      </c>
      <c r="I68">
        <v>98.82</v>
      </c>
      <c r="J68">
        <v>0.57599999999999996</v>
      </c>
      <c r="K68">
        <v>19.87</v>
      </c>
      <c r="L68" s="1">
        <v>74669347.680000007</v>
      </c>
      <c r="M68" s="1">
        <v>65482884.479999997</v>
      </c>
      <c r="N68" s="1">
        <v>8407.94</v>
      </c>
      <c r="O68" s="3">
        <f>Tabela1[[#This Row],[Total de receitas brutas realizadas - R$ '[2024']]]-Tabela1[[#This Row],[Total de despesas brutas empenhadas - R$ '[2024']]]</f>
        <v>9186463.2000000104</v>
      </c>
      <c r="P68" s="1">
        <f>(Tabela1[[#This Row],[Total de receitas brutas realizadas - R$ '[2024']]]-Tabela1[[#This Row],[Total de despesas brutas empenhadas - R$ '[2024']]])/Tabela1[[#This Row],[População estimada - pessoas '[2025']]]</f>
        <v>653.60819637139878</v>
      </c>
      <c r="Q68" s="1">
        <f>Tabela1[[#This Row],[Total de receitas brutas realizadas - R$ '[2024']]]/Tabela1[[#This Row],[População estimada - pessoas '[2025']]]</f>
        <v>5312.6536947705445</v>
      </c>
      <c r="R6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69" spans="1:18" x14ac:dyDescent="0.25">
      <c r="A69" t="s">
        <v>210</v>
      </c>
      <c r="B69">
        <v>2605905</v>
      </c>
      <c r="C69" t="s">
        <v>211</v>
      </c>
      <c r="D69" t="s">
        <v>212</v>
      </c>
      <c r="E69">
        <v>257.78100000000001</v>
      </c>
      <c r="F69">
        <v>18214</v>
      </c>
      <c r="G69">
        <v>70.66</v>
      </c>
      <c r="H69">
        <v>17583</v>
      </c>
      <c r="I69">
        <v>98.88</v>
      </c>
      <c r="J69">
        <v>0.60199999999999998</v>
      </c>
      <c r="K69">
        <v>8.26</v>
      </c>
      <c r="L69" s="1">
        <v>126483283.61</v>
      </c>
      <c r="M69" s="1">
        <v>105985482.58</v>
      </c>
      <c r="N69" s="1">
        <v>8685.09</v>
      </c>
      <c r="O69" s="3">
        <f>Tabela1[[#This Row],[Total de receitas brutas realizadas - R$ '[2024']]]-Tabela1[[#This Row],[Total de despesas brutas empenhadas - R$ '[2024']]]</f>
        <v>20497801.030000001</v>
      </c>
      <c r="P69" s="1">
        <f>(Tabela1[[#This Row],[Total de receitas brutas realizadas - R$ '[2024']]]-Tabela1[[#This Row],[Total de despesas brutas empenhadas - R$ '[2024']]])/Tabela1[[#This Row],[População estimada - pessoas '[2025']]]</f>
        <v>1165.7738173235512</v>
      </c>
      <c r="Q69" s="1">
        <f>Tabela1[[#This Row],[Total de receitas brutas realizadas - R$ '[2024']]]/Tabela1[[#This Row],[População estimada - pessoas '[2025']]]</f>
        <v>7193.4984706819087</v>
      </c>
      <c r="R6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70" spans="1:18" x14ac:dyDescent="0.25">
      <c r="A70" t="s">
        <v>213</v>
      </c>
      <c r="B70">
        <v>2606002</v>
      </c>
      <c r="C70" t="s">
        <v>214</v>
      </c>
      <c r="D70" t="s">
        <v>215</v>
      </c>
      <c r="E70">
        <v>458.964</v>
      </c>
      <c r="F70">
        <v>142506</v>
      </c>
      <c r="G70">
        <v>310.77</v>
      </c>
      <c r="H70">
        <v>151803</v>
      </c>
      <c r="I70">
        <v>98.72</v>
      </c>
      <c r="J70">
        <v>0.66400000000000003</v>
      </c>
      <c r="K70">
        <v>10.119999999999999</v>
      </c>
      <c r="L70" s="1">
        <v>633552654.60000002</v>
      </c>
      <c r="M70" s="1">
        <v>620186950.87</v>
      </c>
      <c r="N70" s="1">
        <v>21769.91</v>
      </c>
      <c r="O70" s="3">
        <f>Tabela1[[#This Row],[Total de receitas brutas realizadas - R$ '[2024']]]-Tabela1[[#This Row],[Total de despesas brutas empenhadas - R$ '[2024']]]</f>
        <v>13365703.730000019</v>
      </c>
      <c r="P70" s="1">
        <f>(Tabela1[[#This Row],[Total de receitas brutas realizadas - R$ '[2024']]]-Tabela1[[#This Row],[Total de despesas brutas empenhadas - R$ '[2024']]])/Tabela1[[#This Row],[População estimada - pessoas '[2025']]]</f>
        <v>88.046374116453691</v>
      </c>
      <c r="Q70" s="1">
        <f>Tabela1[[#This Row],[Total de receitas brutas realizadas - R$ '[2024']]]/Tabela1[[#This Row],[População estimada - pessoas '[2025']]]</f>
        <v>4173.5186695915099</v>
      </c>
      <c r="R7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71" spans="1:18" x14ac:dyDescent="0.25">
      <c r="A71" t="s">
        <v>216</v>
      </c>
      <c r="B71">
        <v>2606101</v>
      </c>
      <c r="C71" t="s">
        <v>217</v>
      </c>
      <c r="D71" t="s">
        <v>218</v>
      </c>
      <c r="E71">
        <v>234.48599999999999</v>
      </c>
      <c r="F71">
        <v>29347</v>
      </c>
      <c r="G71">
        <v>125.04</v>
      </c>
      <c r="H71">
        <v>30420</v>
      </c>
      <c r="I71">
        <v>98.32</v>
      </c>
      <c r="J71">
        <v>0.60399999999999998</v>
      </c>
      <c r="K71">
        <v>8.7200000000000006</v>
      </c>
      <c r="L71" s="1">
        <v>152545171.30000001</v>
      </c>
      <c r="M71" s="1">
        <v>137876047.25999999</v>
      </c>
      <c r="N71" s="1">
        <v>17979.59</v>
      </c>
      <c r="O71" s="3">
        <f>Tabela1[[#This Row],[Total de receitas brutas realizadas - R$ '[2024']]]-Tabela1[[#This Row],[Total de despesas brutas empenhadas - R$ '[2024']]]</f>
        <v>14669124.040000021</v>
      </c>
      <c r="P71" s="1">
        <f>(Tabela1[[#This Row],[Total de receitas brutas realizadas - R$ '[2024']]]-Tabela1[[#This Row],[Total de despesas brutas empenhadas - R$ '[2024']]])/Tabela1[[#This Row],[População estimada - pessoas '[2025']]]</f>
        <v>482.21972518080281</v>
      </c>
      <c r="Q71" s="1">
        <f>Tabela1[[#This Row],[Total de receitas brutas realizadas - R$ '[2024']]]/Tabela1[[#This Row],[População estimada - pessoas '[2025']]]</f>
        <v>5014.6341650230115</v>
      </c>
      <c r="R7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72" spans="1:18" x14ac:dyDescent="0.25">
      <c r="A72" t="s">
        <v>219</v>
      </c>
      <c r="B72">
        <v>2606200</v>
      </c>
      <c r="C72" t="s">
        <v>220</v>
      </c>
      <c r="D72" t="s">
        <v>221</v>
      </c>
      <c r="E72">
        <v>445.40499999999997</v>
      </c>
      <c r="F72">
        <v>81055</v>
      </c>
      <c r="G72">
        <v>181.98</v>
      </c>
      <c r="H72">
        <v>85497</v>
      </c>
      <c r="I72">
        <v>97.53</v>
      </c>
      <c r="J72">
        <v>0.65100000000000002</v>
      </c>
      <c r="K72">
        <v>17.18</v>
      </c>
      <c r="L72" s="1">
        <v>862258577.66999996</v>
      </c>
      <c r="M72" s="1">
        <v>940108578.15999997</v>
      </c>
      <c r="N72" s="1">
        <v>132714.72</v>
      </c>
      <c r="O72" s="3">
        <f>Tabela1[[#This Row],[Total de receitas brutas realizadas - R$ '[2024']]]-Tabela1[[#This Row],[Total de despesas brutas empenhadas - R$ '[2024']]]</f>
        <v>-77850000.49000001</v>
      </c>
      <c r="P72" s="1">
        <f>(Tabela1[[#This Row],[Total de receitas brutas realizadas - R$ '[2024']]]-Tabela1[[#This Row],[Total de despesas brutas empenhadas - R$ '[2024']]])/Tabela1[[#This Row],[População estimada - pessoas '[2025']]]</f>
        <v>-910.55827093348319</v>
      </c>
      <c r="Q72" s="1">
        <f>Tabela1[[#This Row],[Total de receitas brutas realizadas - R$ '[2024']]]/Tabela1[[#This Row],[População estimada - pessoas '[2025']]]</f>
        <v>10085.249513667146</v>
      </c>
      <c r="R7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73" spans="1:18" x14ac:dyDescent="0.25">
      <c r="A73" t="s">
        <v>222</v>
      </c>
      <c r="B73">
        <v>2606309</v>
      </c>
      <c r="C73" t="s">
        <v>223</v>
      </c>
      <c r="D73" t="s">
        <v>224</v>
      </c>
      <c r="E73">
        <v>521.69000000000005</v>
      </c>
      <c r="F73">
        <v>6967</v>
      </c>
      <c r="G73">
        <v>13.35</v>
      </c>
      <c r="H73">
        <v>7217</v>
      </c>
      <c r="I73">
        <v>99.37</v>
      </c>
      <c r="J73">
        <v>0.59499999999999997</v>
      </c>
      <c r="K73" t="s">
        <v>24</v>
      </c>
      <c r="L73" s="1">
        <v>57401469.899999999</v>
      </c>
      <c r="M73" s="1">
        <v>55666822.130000003</v>
      </c>
      <c r="N73" s="1">
        <v>10339</v>
      </c>
      <c r="O73" s="3">
        <f>Tabela1[[#This Row],[Total de receitas brutas realizadas - R$ '[2024']]]-Tabela1[[#This Row],[Total de despesas brutas empenhadas - R$ '[2024']]]</f>
        <v>1734647.7699999958</v>
      </c>
      <c r="P73" s="1">
        <f>(Tabela1[[#This Row],[Total de receitas brutas realizadas - R$ '[2024']]]-Tabela1[[#This Row],[Total de despesas brutas empenhadas - R$ '[2024']]])/Tabela1[[#This Row],[População estimada - pessoas '[2025']]]</f>
        <v>240.35579465151667</v>
      </c>
      <c r="Q73" s="1">
        <f>Tabela1[[#This Row],[Total de receitas brutas realizadas - R$ '[2024']]]/Tabela1[[#This Row],[População estimada - pessoas '[2025']]]</f>
        <v>7953.646930857697</v>
      </c>
      <c r="R7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74" spans="1:18" x14ac:dyDescent="0.25">
      <c r="A74" t="s">
        <v>225</v>
      </c>
      <c r="B74">
        <v>2606408</v>
      </c>
      <c r="C74" t="s">
        <v>226</v>
      </c>
      <c r="D74" t="s">
        <v>227</v>
      </c>
      <c r="E74">
        <v>507.36</v>
      </c>
      <c r="F74">
        <v>86516</v>
      </c>
      <c r="G74">
        <v>170.52</v>
      </c>
      <c r="H74">
        <v>92429</v>
      </c>
      <c r="I74">
        <v>99.1</v>
      </c>
      <c r="J74">
        <v>0.63400000000000001</v>
      </c>
      <c r="K74">
        <v>11.63</v>
      </c>
      <c r="L74" s="1">
        <v>339673848.64999998</v>
      </c>
      <c r="M74" s="1">
        <v>330383043.95999998</v>
      </c>
      <c r="N74" s="1">
        <v>15938.31</v>
      </c>
      <c r="O74" s="3">
        <f>Tabela1[[#This Row],[Total de receitas brutas realizadas - R$ '[2024']]]-Tabela1[[#This Row],[Total de despesas brutas empenhadas - R$ '[2024']]]</f>
        <v>9290804.6899999976</v>
      </c>
      <c r="P74" s="1">
        <f>(Tabela1[[#This Row],[Total de receitas brutas realizadas - R$ '[2024']]]-Tabela1[[#This Row],[Total de despesas brutas empenhadas - R$ '[2024']]])/Tabela1[[#This Row],[População estimada - pessoas '[2025']]]</f>
        <v>100.51828636034142</v>
      </c>
      <c r="Q74" s="1">
        <f>Tabela1[[#This Row],[Total de receitas brutas realizadas - R$ '[2024']]]/Tabela1[[#This Row],[População estimada - pessoas '[2025']]]</f>
        <v>3674.9705033052396</v>
      </c>
      <c r="R7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75" spans="1:18" x14ac:dyDescent="0.25">
      <c r="A75" t="s">
        <v>228</v>
      </c>
      <c r="B75">
        <v>2606507</v>
      </c>
      <c r="C75" t="s">
        <v>229</v>
      </c>
      <c r="D75" t="s">
        <v>230</v>
      </c>
      <c r="E75">
        <v>635.13699999999994</v>
      </c>
      <c r="F75">
        <v>17165</v>
      </c>
      <c r="G75">
        <v>27.03</v>
      </c>
      <c r="H75">
        <v>17570</v>
      </c>
      <c r="I75">
        <v>97.88</v>
      </c>
      <c r="J75">
        <v>0.52800000000000002</v>
      </c>
      <c r="K75">
        <v>18.73</v>
      </c>
      <c r="L75" s="1">
        <v>117711681.81</v>
      </c>
      <c r="M75" s="1">
        <v>118698057.44</v>
      </c>
      <c r="N75" s="1">
        <v>10153.51</v>
      </c>
      <c r="O75" s="3">
        <f>Tabela1[[#This Row],[Total de receitas brutas realizadas - R$ '[2024']]]-Tabela1[[#This Row],[Total de despesas brutas empenhadas - R$ '[2024']]]</f>
        <v>-986375.62999999523</v>
      </c>
      <c r="P75" s="1">
        <f>(Tabela1[[#This Row],[Total de receitas brutas realizadas - R$ '[2024']]]-Tabela1[[#This Row],[Total de despesas brutas empenhadas - R$ '[2024']]])/Tabela1[[#This Row],[População estimada - pessoas '[2025']]]</f>
        <v>-56.139762663630918</v>
      </c>
      <c r="Q75" s="1">
        <f>Tabela1[[#This Row],[Total de receitas brutas realizadas - R$ '[2024']]]/Tabela1[[#This Row],[População estimada - pessoas '[2025']]]</f>
        <v>6699.583483779169</v>
      </c>
      <c r="R7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76" spans="1:18" x14ac:dyDescent="0.25">
      <c r="A76" t="s">
        <v>231</v>
      </c>
      <c r="B76">
        <v>2606606</v>
      </c>
      <c r="C76" t="s">
        <v>232</v>
      </c>
      <c r="D76" t="s">
        <v>233</v>
      </c>
      <c r="E76">
        <v>1929.338</v>
      </c>
      <c r="F76">
        <v>26593</v>
      </c>
      <c r="G76">
        <v>14.13</v>
      </c>
      <c r="H76">
        <v>28825</v>
      </c>
      <c r="I76">
        <v>96.23</v>
      </c>
      <c r="J76">
        <v>0.55200000000000005</v>
      </c>
      <c r="K76">
        <v>21.45</v>
      </c>
      <c r="L76" s="1">
        <v>136509777.05000001</v>
      </c>
      <c r="M76" s="1">
        <v>128191887.7</v>
      </c>
      <c r="N76" s="1">
        <v>11158.32</v>
      </c>
      <c r="O76" s="3">
        <f>Tabela1[[#This Row],[Total de receitas brutas realizadas - R$ '[2024']]]-Tabela1[[#This Row],[Total de despesas brutas empenhadas - R$ '[2024']]]</f>
        <v>8317889.3500000089</v>
      </c>
      <c r="P76" s="1">
        <f>(Tabela1[[#This Row],[Total de receitas brutas realizadas - R$ '[2024']]]-Tabela1[[#This Row],[Total de despesas brutas empenhadas - R$ '[2024']]])/Tabela1[[#This Row],[População estimada - pessoas '[2025']]]</f>
        <v>288.56511188204712</v>
      </c>
      <c r="Q76" s="1">
        <f>Tabela1[[#This Row],[Total de receitas brutas realizadas - R$ '[2024']]]/Tabela1[[#This Row],[População estimada - pessoas '[2025']]]</f>
        <v>4735.811866435386</v>
      </c>
      <c r="R7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77" spans="1:18" x14ac:dyDescent="0.25">
      <c r="A77" t="s">
        <v>234</v>
      </c>
      <c r="B77">
        <v>2606705</v>
      </c>
      <c r="C77" t="s">
        <v>235</v>
      </c>
      <c r="D77" t="s">
        <v>236</v>
      </c>
      <c r="E77">
        <v>189.596</v>
      </c>
      <c r="F77">
        <v>7140</v>
      </c>
      <c r="G77">
        <v>37.659999999999997</v>
      </c>
      <c r="H77">
        <v>7334</v>
      </c>
      <c r="I77">
        <v>98.96</v>
      </c>
      <c r="J77">
        <v>0.57999999999999996</v>
      </c>
      <c r="K77">
        <v>9.9</v>
      </c>
      <c r="L77" s="1">
        <v>63050909.109999999</v>
      </c>
      <c r="M77" s="1">
        <v>64815757.729999997</v>
      </c>
      <c r="N77" s="1">
        <v>11003.14</v>
      </c>
      <c r="O77" s="3">
        <f>Tabela1[[#This Row],[Total de receitas brutas realizadas - R$ '[2024']]]-Tabela1[[#This Row],[Total de despesas brutas empenhadas - R$ '[2024']]]</f>
        <v>-1764848.6199999973</v>
      </c>
      <c r="P77" s="1">
        <f>(Tabela1[[#This Row],[Total de receitas brutas realizadas - R$ '[2024']]]-Tabela1[[#This Row],[Total de despesas brutas empenhadas - R$ '[2024']]])/Tabela1[[#This Row],[População estimada - pessoas '[2025']]]</f>
        <v>-240.63929915462194</v>
      </c>
      <c r="Q77" s="1">
        <f>Tabela1[[#This Row],[Total de receitas brutas realizadas - R$ '[2024']]]/Tabela1[[#This Row],[População estimada - pessoas '[2025']]]</f>
        <v>8597.0696904826837</v>
      </c>
      <c r="R7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78" spans="1:18" x14ac:dyDescent="0.25">
      <c r="A78" t="s">
        <v>237</v>
      </c>
      <c r="B78">
        <v>2606804</v>
      </c>
      <c r="C78" t="s">
        <v>238</v>
      </c>
      <c r="D78" t="s">
        <v>239</v>
      </c>
      <c r="E78">
        <v>306.87900000000002</v>
      </c>
      <c r="F78">
        <v>115196</v>
      </c>
      <c r="G78">
        <v>375.38</v>
      </c>
      <c r="H78">
        <v>123017</v>
      </c>
      <c r="I78">
        <v>98.11</v>
      </c>
      <c r="J78">
        <v>0.66500000000000004</v>
      </c>
      <c r="K78">
        <v>13.59</v>
      </c>
      <c r="L78" s="1">
        <v>501348092.55000001</v>
      </c>
      <c r="M78" s="1">
        <v>485549756.95999998</v>
      </c>
      <c r="N78" s="1">
        <v>29003.48</v>
      </c>
      <c r="O78" s="3">
        <f>Tabela1[[#This Row],[Total de receitas brutas realizadas - R$ '[2024']]]-Tabela1[[#This Row],[Total de despesas brutas empenhadas - R$ '[2024']]]</f>
        <v>15798335.590000033</v>
      </c>
      <c r="P78" s="1">
        <f>(Tabela1[[#This Row],[Total de receitas brutas realizadas - R$ '[2024']]]-Tabela1[[#This Row],[Total de despesas brutas empenhadas - R$ '[2024']]])/Tabela1[[#This Row],[População estimada - pessoas '[2025']]]</f>
        <v>128.42400310526216</v>
      </c>
      <c r="Q78" s="1">
        <f>Tabela1[[#This Row],[Total de receitas brutas realizadas - R$ '[2024']]]/Tabela1[[#This Row],[População estimada - pessoas '[2025']]]</f>
        <v>4075.4374805921134</v>
      </c>
      <c r="R7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79" spans="1:18" x14ac:dyDescent="0.25">
      <c r="A79" t="s">
        <v>240</v>
      </c>
      <c r="B79">
        <v>2606903</v>
      </c>
      <c r="C79" t="s">
        <v>241</v>
      </c>
      <c r="D79" t="s">
        <v>242</v>
      </c>
      <c r="E79">
        <v>836.04600000000005</v>
      </c>
      <c r="F79">
        <v>11081</v>
      </c>
      <c r="G79">
        <v>13.22</v>
      </c>
      <c r="H79">
        <v>11347</v>
      </c>
      <c r="I79">
        <v>99.05</v>
      </c>
      <c r="J79">
        <v>0.59799999999999998</v>
      </c>
      <c r="K79">
        <v>35.090000000000003</v>
      </c>
      <c r="L79" s="1">
        <v>85405956.469999999</v>
      </c>
      <c r="M79" s="1">
        <v>83910059.219999999</v>
      </c>
      <c r="N79" s="1">
        <v>9161.7900000000009</v>
      </c>
      <c r="O79" s="3">
        <f>Tabela1[[#This Row],[Total de receitas brutas realizadas - R$ '[2024']]]-Tabela1[[#This Row],[Total de despesas brutas empenhadas - R$ '[2024']]]</f>
        <v>1495897.25</v>
      </c>
      <c r="P79" s="1">
        <f>(Tabela1[[#This Row],[Total de receitas brutas realizadas - R$ '[2024']]]-Tabela1[[#This Row],[Total de despesas brutas empenhadas - R$ '[2024']]])/Tabela1[[#This Row],[População estimada - pessoas '[2025']]]</f>
        <v>131.83195998942452</v>
      </c>
      <c r="Q79" s="1">
        <f>Tabela1[[#This Row],[Total de receitas brutas realizadas - R$ '[2024']]]/Tabela1[[#This Row],[População estimada - pessoas '[2025']]]</f>
        <v>7526.7433215827969</v>
      </c>
      <c r="R7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0" spans="1:18" x14ac:dyDescent="0.25">
      <c r="A80" t="s">
        <v>243</v>
      </c>
      <c r="B80">
        <v>2607000</v>
      </c>
      <c r="C80" t="s">
        <v>244</v>
      </c>
      <c r="D80" t="s">
        <v>245</v>
      </c>
      <c r="E80">
        <v>1240.961</v>
      </c>
      <c r="F80">
        <v>25603</v>
      </c>
      <c r="G80">
        <v>20.79</v>
      </c>
      <c r="H80">
        <v>27758</v>
      </c>
      <c r="I80">
        <v>97.57</v>
      </c>
      <c r="J80">
        <v>0.52300000000000002</v>
      </c>
      <c r="K80">
        <v>17.649999999999999</v>
      </c>
      <c r="L80" s="1">
        <v>143994379.31999999</v>
      </c>
      <c r="M80" s="1">
        <v>135004214.53</v>
      </c>
      <c r="N80" s="1">
        <v>8191.73</v>
      </c>
      <c r="O80" s="3">
        <f>Tabela1[[#This Row],[Total de receitas brutas realizadas - R$ '[2024']]]-Tabela1[[#This Row],[Total de despesas brutas empenhadas - R$ '[2024']]]</f>
        <v>8990164.7899999917</v>
      </c>
      <c r="P80" s="1">
        <f>(Tabela1[[#This Row],[Total de receitas brutas realizadas - R$ '[2024']]]-Tabela1[[#This Row],[Total de despesas brutas empenhadas - R$ '[2024']]])/Tabela1[[#This Row],[População estimada - pessoas '[2025']]]</f>
        <v>323.8765325311619</v>
      </c>
      <c r="Q80" s="1">
        <f>Tabela1[[#This Row],[Total de receitas brutas realizadas - R$ '[2024']]]/Tabela1[[#This Row],[População estimada - pessoas '[2025']]]</f>
        <v>5187.4911492182428</v>
      </c>
      <c r="R8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1" spans="1:18" x14ac:dyDescent="0.25">
      <c r="A81" t="s">
        <v>246</v>
      </c>
      <c r="B81">
        <v>2607109</v>
      </c>
      <c r="C81" t="s">
        <v>247</v>
      </c>
      <c r="D81" t="s">
        <v>248</v>
      </c>
      <c r="E81">
        <v>243.858</v>
      </c>
      <c r="F81">
        <v>4765</v>
      </c>
      <c r="G81">
        <v>19.559999999999999</v>
      </c>
      <c r="H81">
        <v>4975</v>
      </c>
      <c r="I81">
        <v>99.09</v>
      </c>
      <c r="J81">
        <v>0.60799999999999998</v>
      </c>
      <c r="K81" t="s">
        <v>24</v>
      </c>
      <c r="L81" s="1">
        <v>46458945.049999997</v>
      </c>
      <c r="M81" s="1">
        <v>45204714.340000004</v>
      </c>
      <c r="N81" s="1">
        <v>11130.08</v>
      </c>
      <c r="O81" s="3">
        <f>Tabela1[[#This Row],[Total de receitas brutas realizadas - R$ '[2024']]]-Tabela1[[#This Row],[Total de despesas brutas empenhadas - R$ '[2024']]]</f>
        <v>1254230.7099999934</v>
      </c>
      <c r="P81" s="1">
        <f>(Tabela1[[#This Row],[Total de receitas brutas realizadas - R$ '[2024']]]-Tabela1[[#This Row],[Total de despesas brutas empenhadas - R$ '[2024']]])/Tabela1[[#This Row],[População estimada - pessoas '[2025']]]</f>
        <v>252.10667537688312</v>
      </c>
      <c r="Q81" s="1">
        <f>Tabela1[[#This Row],[Total de receitas brutas realizadas - R$ '[2024']]]/Tabela1[[#This Row],[População estimada - pessoas '[2025']]]</f>
        <v>9338.4814170854261</v>
      </c>
      <c r="R8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82" spans="1:18" x14ac:dyDescent="0.25">
      <c r="A82" t="s">
        <v>249</v>
      </c>
      <c r="B82">
        <v>2607208</v>
      </c>
      <c r="C82" t="s">
        <v>250</v>
      </c>
      <c r="D82" t="s">
        <v>251</v>
      </c>
      <c r="E82">
        <v>521.80100000000004</v>
      </c>
      <c r="F82">
        <v>98932</v>
      </c>
      <c r="G82">
        <v>189.6</v>
      </c>
      <c r="H82">
        <v>106539</v>
      </c>
      <c r="I82">
        <v>98.76</v>
      </c>
      <c r="J82">
        <v>0.61899999999999999</v>
      </c>
      <c r="K82">
        <v>8.7799999999999994</v>
      </c>
      <c r="L82" s="1">
        <v>1911882415.2</v>
      </c>
      <c r="M82" s="1">
        <v>1707189429.54</v>
      </c>
      <c r="N82" s="1">
        <v>150647.79</v>
      </c>
      <c r="O82" s="3">
        <f>Tabela1[[#This Row],[Total de receitas brutas realizadas - R$ '[2024']]]-Tabela1[[#This Row],[Total de despesas brutas empenhadas - R$ '[2024']]]</f>
        <v>204692985.66000009</v>
      </c>
      <c r="P82" s="1">
        <f>(Tabela1[[#This Row],[Total de receitas brutas realizadas - R$ '[2024']]]-Tabela1[[#This Row],[Total de despesas brutas empenhadas - R$ '[2024']]])/Tabela1[[#This Row],[População estimada - pessoas '[2025']]]</f>
        <v>1921.2962920620625</v>
      </c>
      <c r="Q82" s="1">
        <f>Tabela1[[#This Row],[Total de receitas brutas realizadas - R$ '[2024']]]/Tabela1[[#This Row],[População estimada - pessoas '[2025']]]</f>
        <v>17945.376014417256</v>
      </c>
      <c r="R8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83" spans="1:18" x14ac:dyDescent="0.25">
      <c r="A83" t="s">
        <v>252</v>
      </c>
      <c r="B83">
        <v>2607307</v>
      </c>
      <c r="C83" t="s">
        <v>253</v>
      </c>
      <c r="D83" t="s">
        <v>254</v>
      </c>
      <c r="E83">
        <v>693.91399999999999</v>
      </c>
      <c r="F83">
        <v>29009</v>
      </c>
      <c r="G83">
        <v>41.8</v>
      </c>
      <c r="H83">
        <v>30720</v>
      </c>
      <c r="I83">
        <v>97.25</v>
      </c>
      <c r="J83">
        <v>0.55000000000000004</v>
      </c>
      <c r="K83">
        <v>11.9</v>
      </c>
      <c r="L83" s="1">
        <v>175766843.44999999</v>
      </c>
      <c r="M83" s="1">
        <v>172422339.75999999</v>
      </c>
      <c r="N83" s="1">
        <v>10800.4</v>
      </c>
      <c r="O83" s="3">
        <f>Tabela1[[#This Row],[Total de receitas brutas realizadas - R$ '[2024']]]-Tabela1[[#This Row],[Total de despesas brutas empenhadas - R$ '[2024']]]</f>
        <v>3344503.6899999976</v>
      </c>
      <c r="P83" s="1">
        <f>(Tabela1[[#This Row],[Total de receitas brutas realizadas - R$ '[2024']]]-Tabela1[[#This Row],[Total de despesas brutas empenhadas - R$ '[2024']]])/Tabela1[[#This Row],[População estimada - pessoas '[2025']]]</f>
        <v>108.87056282552075</v>
      </c>
      <c r="Q83" s="1">
        <f>Tabela1[[#This Row],[Total de receitas brutas realizadas - R$ '[2024']]]/Tabela1[[#This Row],[População estimada - pessoas '[2025']]]</f>
        <v>5721.5769352213538</v>
      </c>
      <c r="R8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4" spans="1:18" x14ac:dyDescent="0.25">
      <c r="A84" t="s">
        <v>255</v>
      </c>
      <c r="B84">
        <v>2607406</v>
      </c>
      <c r="C84" t="s">
        <v>256</v>
      </c>
      <c r="D84" t="s">
        <v>257</v>
      </c>
      <c r="E84">
        <v>436.52800000000002</v>
      </c>
      <c r="F84">
        <v>4284</v>
      </c>
      <c r="G84">
        <v>9.9600000000000009</v>
      </c>
      <c r="H84">
        <v>4491</v>
      </c>
      <c r="I84">
        <v>100</v>
      </c>
      <c r="J84">
        <v>0.59499999999999997</v>
      </c>
      <c r="K84">
        <v>13.33</v>
      </c>
      <c r="L84" s="1">
        <v>53637164.939999998</v>
      </c>
      <c r="M84" s="1">
        <v>48265487.859999999</v>
      </c>
      <c r="N84" s="1">
        <v>14220.22</v>
      </c>
      <c r="O84" s="3">
        <f>Tabela1[[#This Row],[Total de receitas brutas realizadas - R$ '[2024']]]-Tabela1[[#This Row],[Total de despesas brutas empenhadas - R$ '[2024']]]</f>
        <v>5371677.0799999982</v>
      </c>
      <c r="P84" s="1">
        <f>(Tabela1[[#This Row],[Total de receitas brutas realizadas - R$ '[2024']]]-Tabela1[[#This Row],[Total de despesas brutas empenhadas - R$ '[2024']]])/Tabela1[[#This Row],[População estimada - pessoas '[2025']]]</f>
        <v>1196.0982142061898</v>
      </c>
      <c r="Q84" s="1">
        <f>Tabela1[[#This Row],[Total de receitas brutas realizadas - R$ '[2024']]]/Tabela1[[#This Row],[População estimada - pessoas '[2025']]]</f>
        <v>11943.256499665998</v>
      </c>
      <c r="R8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5" spans="1:18" x14ac:dyDescent="0.25">
      <c r="A85" t="s">
        <v>258</v>
      </c>
      <c r="B85">
        <v>2607505</v>
      </c>
      <c r="C85" t="s">
        <v>259</v>
      </c>
      <c r="D85" t="s">
        <v>260</v>
      </c>
      <c r="E85">
        <v>1034.0440000000001</v>
      </c>
      <c r="F85">
        <v>32650</v>
      </c>
      <c r="G85">
        <v>30.75</v>
      </c>
      <c r="H85">
        <v>33995</v>
      </c>
      <c r="I85">
        <v>98.53</v>
      </c>
      <c r="J85">
        <v>0.51</v>
      </c>
      <c r="K85">
        <v>15.46</v>
      </c>
      <c r="L85" s="1">
        <v>142550031.50999999</v>
      </c>
      <c r="M85" s="1">
        <v>142795450.65000001</v>
      </c>
      <c r="N85" s="1">
        <v>10789.31</v>
      </c>
      <c r="O85" s="3">
        <f>Tabela1[[#This Row],[Total de receitas brutas realizadas - R$ '[2024']]]-Tabela1[[#This Row],[Total de despesas brutas empenhadas - R$ '[2024']]]</f>
        <v>-245419.1400000155</v>
      </c>
      <c r="P85" s="1">
        <f>(Tabela1[[#This Row],[Total de receitas brutas realizadas - R$ '[2024']]]-Tabela1[[#This Row],[Total de despesas brutas empenhadas - R$ '[2024']]])/Tabela1[[#This Row],[População estimada - pessoas '[2025']]]</f>
        <v>-7.2192716575971616</v>
      </c>
      <c r="Q85" s="1">
        <f>Tabela1[[#This Row],[Total de receitas brutas realizadas - R$ '[2024']]]/Tabela1[[#This Row],[População estimada - pessoas '[2025']]]</f>
        <v>4193.2646421532572</v>
      </c>
      <c r="R8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6" spans="1:18" x14ac:dyDescent="0.25">
      <c r="A86" t="s">
        <v>261</v>
      </c>
      <c r="B86">
        <v>2607604</v>
      </c>
      <c r="C86" t="s">
        <v>262</v>
      </c>
      <c r="D86" t="s">
        <v>263</v>
      </c>
      <c r="E86">
        <v>66.146000000000001</v>
      </c>
      <c r="F86">
        <v>24540</v>
      </c>
      <c r="G86">
        <v>371</v>
      </c>
      <c r="H86">
        <v>25658</v>
      </c>
      <c r="I86">
        <v>99.67</v>
      </c>
      <c r="J86">
        <v>0.65300000000000002</v>
      </c>
      <c r="K86">
        <v>20</v>
      </c>
      <c r="L86" s="1">
        <v>112795937.29000001</v>
      </c>
      <c r="M86" s="1">
        <v>102085473.98</v>
      </c>
      <c r="N86" s="1">
        <v>11051.57</v>
      </c>
      <c r="O86" s="3">
        <f>Tabela1[[#This Row],[Total de receitas brutas realizadas - R$ '[2024']]]-Tabela1[[#This Row],[Total de despesas brutas empenhadas - R$ '[2024']]]</f>
        <v>10710463.310000002</v>
      </c>
      <c r="P86" s="1">
        <f>(Tabela1[[#This Row],[Total de receitas brutas realizadas - R$ '[2024']]]-Tabela1[[#This Row],[Total de despesas brutas empenhadas - R$ '[2024']]])/Tabela1[[#This Row],[População estimada - pessoas '[2025']]]</f>
        <v>417.43172928521329</v>
      </c>
      <c r="Q86" s="1">
        <f>Tabela1[[#This Row],[Total de receitas brutas realizadas - R$ '[2024']]]/Tabela1[[#This Row],[População estimada - pessoas '[2025']]]</f>
        <v>4396.1313153792189</v>
      </c>
      <c r="R8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87" spans="1:18" x14ac:dyDescent="0.25">
      <c r="A87" t="s">
        <v>264</v>
      </c>
      <c r="B87">
        <v>2607653</v>
      </c>
      <c r="C87" t="s">
        <v>265</v>
      </c>
      <c r="D87" t="s">
        <v>266</v>
      </c>
      <c r="E87">
        <v>304.00599999999997</v>
      </c>
      <c r="F87">
        <v>34935</v>
      </c>
      <c r="G87">
        <v>114.92</v>
      </c>
      <c r="H87">
        <v>36652</v>
      </c>
      <c r="I87">
        <v>98.86</v>
      </c>
      <c r="J87">
        <v>0.57499999999999996</v>
      </c>
      <c r="K87">
        <v>13.59</v>
      </c>
      <c r="L87" s="1">
        <v>144248909.41999999</v>
      </c>
      <c r="M87" s="1">
        <v>151583532.61000001</v>
      </c>
      <c r="N87" s="1">
        <v>14321.34</v>
      </c>
      <c r="O87" s="3">
        <f>Tabela1[[#This Row],[Total de receitas brutas realizadas - R$ '[2024']]]-Tabela1[[#This Row],[Total de despesas brutas empenhadas - R$ '[2024']]]</f>
        <v>-7334623.1900000274</v>
      </c>
      <c r="P87" s="1">
        <f>(Tabela1[[#This Row],[Total de receitas brutas realizadas - R$ '[2024']]]-Tabela1[[#This Row],[Total de despesas brutas empenhadas - R$ '[2024']]])/Tabela1[[#This Row],[População estimada - pessoas '[2025']]]</f>
        <v>-200.11522399869114</v>
      </c>
      <c r="Q87" s="1">
        <f>Tabela1[[#This Row],[Total de receitas brutas realizadas - R$ '[2024']]]/Tabela1[[#This Row],[População estimada - pessoas '[2025']]]</f>
        <v>3935.635420168067</v>
      </c>
      <c r="R8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8" spans="1:18" x14ac:dyDescent="0.25">
      <c r="A88" t="s">
        <v>267</v>
      </c>
      <c r="B88">
        <v>2607703</v>
      </c>
      <c r="C88" t="s">
        <v>268</v>
      </c>
      <c r="D88" t="s">
        <v>269</v>
      </c>
      <c r="E88">
        <v>411.875</v>
      </c>
      <c r="F88">
        <v>13791</v>
      </c>
      <c r="G88">
        <v>33.479999999999997</v>
      </c>
      <c r="H88">
        <v>14236</v>
      </c>
      <c r="I88">
        <v>98.01</v>
      </c>
      <c r="J88">
        <v>0.59199999999999997</v>
      </c>
      <c r="K88">
        <v>17.440000000000001</v>
      </c>
      <c r="L88" s="1">
        <v>97001525.299999997</v>
      </c>
      <c r="M88" s="1">
        <v>96207781.689999998</v>
      </c>
      <c r="N88" s="1">
        <v>10367.120000000001</v>
      </c>
      <c r="O88" s="3">
        <f>Tabela1[[#This Row],[Total de receitas brutas realizadas - R$ '[2024']]]-Tabela1[[#This Row],[Total de despesas brutas empenhadas - R$ '[2024']]]</f>
        <v>793743.6099999994</v>
      </c>
      <c r="P88" s="1">
        <f>(Tabela1[[#This Row],[Total de receitas brutas realizadas - R$ '[2024']]]-Tabela1[[#This Row],[Total de despesas brutas empenhadas - R$ '[2024']]])/Tabela1[[#This Row],[População estimada - pessoas '[2025']]]</f>
        <v>55.756083871874083</v>
      </c>
      <c r="Q88" s="1">
        <f>Tabela1[[#This Row],[Total de receitas brutas realizadas - R$ '[2024']]]/Tabela1[[#This Row],[População estimada - pessoas '[2025']]]</f>
        <v>6813.8188606350095</v>
      </c>
      <c r="R8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89" spans="1:18" x14ac:dyDescent="0.25">
      <c r="A89" t="s">
        <v>270</v>
      </c>
      <c r="B89">
        <v>2607752</v>
      </c>
      <c r="C89" t="s">
        <v>271</v>
      </c>
      <c r="D89" t="s">
        <v>272</v>
      </c>
      <c r="E89">
        <v>73.968000000000004</v>
      </c>
      <c r="F89">
        <v>27749</v>
      </c>
      <c r="G89">
        <v>375.15</v>
      </c>
      <c r="H89">
        <v>29669</v>
      </c>
      <c r="I89">
        <v>98.06</v>
      </c>
      <c r="J89">
        <v>0.63300000000000001</v>
      </c>
      <c r="K89">
        <v>8.2200000000000006</v>
      </c>
      <c r="L89" s="1">
        <v>211797460.97999999</v>
      </c>
      <c r="M89" s="1">
        <v>193851101.69999999</v>
      </c>
      <c r="N89" s="1">
        <v>87814.64</v>
      </c>
      <c r="O89" s="3">
        <f>Tabela1[[#This Row],[Total de receitas brutas realizadas - R$ '[2024']]]-Tabela1[[#This Row],[Total de despesas brutas empenhadas - R$ '[2024']]]</f>
        <v>17946359.280000001</v>
      </c>
      <c r="P89" s="1">
        <f>(Tabela1[[#This Row],[Total de receitas brutas realizadas - R$ '[2024']]]-Tabela1[[#This Row],[Total de despesas brutas empenhadas - R$ '[2024']]])/Tabela1[[#This Row],[População estimada - pessoas '[2025']]]</f>
        <v>604.88588358219022</v>
      </c>
      <c r="Q89" s="1">
        <f>Tabela1[[#This Row],[Total de receitas brutas realizadas - R$ '[2024']]]/Tabela1[[#This Row],[População estimada - pessoas '[2025']]]</f>
        <v>7138.678788634601</v>
      </c>
      <c r="R8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90" spans="1:18" x14ac:dyDescent="0.25">
      <c r="A90" t="s">
        <v>273</v>
      </c>
      <c r="B90">
        <v>2607802</v>
      </c>
      <c r="C90" t="s">
        <v>274</v>
      </c>
      <c r="D90" t="s">
        <v>275</v>
      </c>
      <c r="E90">
        <v>162.739</v>
      </c>
      <c r="F90">
        <v>16554</v>
      </c>
      <c r="G90">
        <v>101.72</v>
      </c>
      <c r="H90">
        <v>17142</v>
      </c>
      <c r="I90">
        <v>98.69</v>
      </c>
      <c r="J90">
        <v>0.58599999999999997</v>
      </c>
      <c r="K90">
        <v>11.76</v>
      </c>
      <c r="L90" s="1">
        <v>89209018.879999995</v>
      </c>
      <c r="M90" s="1">
        <v>77331180.180000007</v>
      </c>
      <c r="N90" s="1">
        <v>9431.09</v>
      </c>
      <c r="O90" s="3">
        <f>Tabela1[[#This Row],[Total de receitas brutas realizadas - R$ '[2024']]]-Tabela1[[#This Row],[Total de despesas brutas empenhadas - R$ '[2024']]]</f>
        <v>11877838.699999988</v>
      </c>
      <c r="P90" s="1">
        <f>(Tabela1[[#This Row],[Total de receitas brutas realizadas - R$ '[2024']]]-Tabela1[[#This Row],[Total de despesas brutas empenhadas - R$ '[2024']]])/Tabela1[[#This Row],[População estimada - pessoas '[2025']]]</f>
        <v>692.90856959514576</v>
      </c>
      <c r="Q90" s="1">
        <f>Tabela1[[#This Row],[Total de receitas brutas realizadas - R$ '[2024']]]/Tabela1[[#This Row],[População estimada - pessoas '[2025']]]</f>
        <v>5204.1196406486988</v>
      </c>
      <c r="R9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1" spans="1:18" x14ac:dyDescent="0.25">
      <c r="A91" t="s">
        <v>276</v>
      </c>
      <c r="B91">
        <v>2607901</v>
      </c>
      <c r="C91" t="s">
        <v>277</v>
      </c>
      <c r="D91" t="s">
        <v>278</v>
      </c>
      <c r="E91">
        <v>258.72399999999999</v>
      </c>
      <c r="F91">
        <v>644037</v>
      </c>
      <c r="G91">
        <v>2489.2800000000002</v>
      </c>
      <c r="H91">
        <v>684293</v>
      </c>
      <c r="I91">
        <v>97.61</v>
      </c>
      <c r="J91">
        <v>0.71699999999999997</v>
      </c>
      <c r="K91">
        <v>13.41</v>
      </c>
      <c r="L91" s="1">
        <v>2398315215.4200001</v>
      </c>
      <c r="M91" s="1">
        <v>2244393765.98</v>
      </c>
      <c r="N91" s="1">
        <v>22680.83</v>
      </c>
      <c r="O91" s="3">
        <f>Tabela1[[#This Row],[Total de receitas brutas realizadas - R$ '[2024']]]-Tabela1[[#This Row],[Total de despesas brutas empenhadas - R$ '[2024']]]</f>
        <v>153921449.44000006</v>
      </c>
      <c r="P91" s="1">
        <f>(Tabela1[[#This Row],[Total de receitas brutas realizadas - R$ '[2024']]]-Tabela1[[#This Row],[Total de despesas brutas empenhadas - R$ '[2024']]])/Tabela1[[#This Row],[População estimada - pessoas '[2025']]]</f>
        <v>224.93500509284775</v>
      </c>
      <c r="Q91" s="1">
        <f>Tabela1[[#This Row],[Total de receitas brutas realizadas - R$ '[2024']]]/Tabela1[[#This Row],[População estimada - pessoas '[2025']]]</f>
        <v>3504.8074661292753</v>
      </c>
      <c r="R9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Alto</v>
      </c>
    </row>
    <row r="92" spans="1:18" x14ac:dyDescent="0.25">
      <c r="A92" t="s">
        <v>279</v>
      </c>
      <c r="B92">
        <v>2607950</v>
      </c>
      <c r="C92" t="s">
        <v>280</v>
      </c>
      <c r="D92" t="s">
        <v>281</v>
      </c>
      <c r="E92">
        <v>87.207999999999998</v>
      </c>
      <c r="F92">
        <v>10247</v>
      </c>
      <c r="G92">
        <v>117.5</v>
      </c>
      <c r="H92">
        <v>10440</v>
      </c>
      <c r="I92">
        <v>97.72</v>
      </c>
      <c r="J92">
        <v>0.57499999999999996</v>
      </c>
      <c r="K92">
        <v>13.51</v>
      </c>
      <c r="L92" s="1">
        <v>76761793.170000002</v>
      </c>
      <c r="M92" s="1">
        <v>69042137.650000006</v>
      </c>
      <c r="N92" s="1">
        <v>9611.5400000000009</v>
      </c>
      <c r="O92" s="3">
        <f>Tabela1[[#This Row],[Total de receitas brutas realizadas - R$ '[2024']]]-Tabela1[[#This Row],[Total de despesas brutas empenhadas - R$ '[2024']]]</f>
        <v>7719655.5199999958</v>
      </c>
      <c r="P92" s="1">
        <f>(Tabela1[[#This Row],[Total de receitas brutas realizadas - R$ '[2024']]]-Tabela1[[#This Row],[Total de despesas brutas empenhadas - R$ '[2024']]])/Tabela1[[#This Row],[População estimada - pessoas '[2025']]]</f>
        <v>739.43060536398423</v>
      </c>
      <c r="Q92" s="1">
        <f>Tabela1[[#This Row],[Total de receitas brutas realizadas - R$ '[2024']]]/Tabela1[[#This Row],[População estimada - pessoas '[2025']]]</f>
        <v>7352.6621810344832</v>
      </c>
      <c r="R9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3" spans="1:18" x14ac:dyDescent="0.25">
      <c r="A93" t="s">
        <v>282</v>
      </c>
      <c r="B93">
        <v>2608008</v>
      </c>
      <c r="C93" t="s">
        <v>283</v>
      </c>
      <c r="D93" t="s">
        <v>284</v>
      </c>
      <c r="E93">
        <v>714.601</v>
      </c>
      <c r="F93">
        <v>15843</v>
      </c>
      <c r="G93">
        <v>22.17</v>
      </c>
      <c r="H93">
        <v>16328</v>
      </c>
      <c r="I93">
        <v>98.82</v>
      </c>
      <c r="J93">
        <v>0.53</v>
      </c>
      <c r="K93">
        <v>19.61</v>
      </c>
      <c r="L93" s="1">
        <v>112198672.29000001</v>
      </c>
      <c r="M93" s="1">
        <v>96060877.090000004</v>
      </c>
      <c r="N93" s="1">
        <v>8948.98</v>
      </c>
      <c r="O93" s="3">
        <f>Tabela1[[#This Row],[Total de receitas brutas realizadas - R$ '[2024']]]-Tabela1[[#This Row],[Total de despesas brutas empenhadas - R$ '[2024']]]</f>
        <v>16137795.200000003</v>
      </c>
      <c r="P93" s="1">
        <f>(Tabela1[[#This Row],[Total de receitas brutas realizadas - R$ '[2024']]]-Tabela1[[#This Row],[Total de despesas brutas empenhadas - R$ '[2024']]])/Tabela1[[#This Row],[População estimada - pessoas '[2025']]]</f>
        <v>988.35100440960332</v>
      </c>
      <c r="Q93" s="1">
        <f>Tabela1[[#This Row],[Total de receitas brutas realizadas - R$ '[2024']]]/Tabela1[[#This Row],[População estimada - pessoas '[2025']]]</f>
        <v>6871.5502382410587</v>
      </c>
      <c r="R9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4" spans="1:18" x14ac:dyDescent="0.25">
      <c r="A94" t="s">
        <v>285</v>
      </c>
      <c r="B94">
        <v>2608057</v>
      </c>
      <c r="C94" t="s">
        <v>286</v>
      </c>
      <c r="D94" t="s">
        <v>287</v>
      </c>
      <c r="E94">
        <v>277.86200000000002</v>
      </c>
      <c r="F94">
        <v>14020</v>
      </c>
      <c r="G94">
        <v>50.46</v>
      </c>
      <c r="H94">
        <v>14477</v>
      </c>
      <c r="I94">
        <v>99.05</v>
      </c>
      <c r="J94">
        <v>0.64500000000000002</v>
      </c>
      <c r="K94">
        <v>11.24</v>
      </c>
      <c r="L94" s="1">
        <v>81534519.409999996</v>
      </c>
      <c r="M94" s="1">
        <v>75149940.780000001</v>
      </c>
      <c r="N94" s="1">
        <v>10318.9</v>
      </c>
      <c r="O94" s="3">
        <f>Tabela1[[#This Row],[Total de receitas brutas realizadas - R$ '[2024']]]-Tabela1[[#This Row],[Total de despesas brutas empenhadas - R$ '[2024']]]</f>
        <v>6384578.6299999952</v>
      </c>
      <c r="P94" s="1">
        <f>(Tabela1[[#This Row],[Total de receitas brutas realizadas - R$ '[2024']]]-Tabela1[[#This Row],[Total de despesas brutas empenhadas - R$ '[2024']]])/Tabela1[[#This Row],[População estimada - pessoas '[2025']]]</f>
        <v>441.01530911100332</v>
      </c>
      <c r="Q94" s="1">
        <f>Tabela1[[#This Row],[Total de receitas brutas realizadas - R$ '[2024']]]/Tabela1[[#This Row],[População estimada - pessoas '[2025']]]</f>
        <v>5632.0038274504386</v>
      </c>
      <c r="R9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95" spans="1:18" x14ac:dyDescent="0.25">
      <c r="A95" t="s">
        <v>288</v>
      </c>
      <c r="B95">
        <v>2608107</v>
      </c>
      <c r="C95" t="s">
        <v>289</v>
      </c>
      <c r="D95" t="s">
        <v>290</v>
      </c>
      <c r="E95">
        <v>134.14699999999999</v>
      </c>
      <c r="F95">
        <v>27725</v>
      </c>
      <c r="G95">
        <v>206.68</v>
      </c>
      <c r="H95">
        <v>28842</v>
      </c>
      <c r="I95">
        <v>99.55</v>
      </c>
      <c r="J95">
        <v>0.57599999999999996</v>
      </c>
      <c r="K95">
        <v>22.58</v>
      </c>
      <c r="L95" s="1">
        <v>155257829.09</v>
      </c>
      <c r="M95" s="1">
        <v>149093331.99000001</v>
      </c>
      <c r="N95" s="1">
        <v>9432.35</v>
      </c>
      <c r="O95" s="3">
        <f>Tabela1[[#This Row],[Total de receitas brutas realizadas - R$ '[2024']]]-Tabela1[[#This Row],[Total de despesas brutas empenhadas - R$ '[2024']]]</f>
        <v>6164497.099999994</v>
      </c>
      <c r="P95" s="1">
        <f>(Tabela1[[#This Row],[Total de receitas brutas realizadas - R$ '[2024']]]-Tabela1[[#This Row],[Total de despesas brutas empenhadas - R$ '[2024']]])/Tabela1[[#This Row],[População estimada - pessoas '[2025']]]</f>
        <v>213.73334373483095</v>
      </c>
      <c r="Q95" s="1">
        <f>Tabela1[[#This Row],[Total de receitas brutas realizadas - R$ '[2024']]]/Tabela1[[#This Row],[População estimada - pessoas '[2025']]]</f>
        <v>5383.0465671590046</v>
      </c>
      <c r="R9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6" spans="1:18" x14ac:dyDescent="0.25">
      <c r="A96" t="s">
        <v>291</v>
      </c>
      <c r="B96">
        <v>2608206</v>
      </c>
      <c r="C96" t="s">
        <v>292</v>
      </c>
      <c r="D96" t="s">
        <v>293</v>
      </c>
      <c r="E96">
        <v>122.605</v>
      </c>
      <c r="F96">
        <v>13269</v>
      </c>
      <c r="G96">
        <v>108.24</v>
      </c>
      <c r="H96">
        <v>13416</v>
      </c>
      <c r="I96">
        <v>99.8</v>
      </c>
      <c r="J96">
        <v>0.55400000000000005</v>
      </c>
      <c r="K96" t="s">
        <v>24</v>
      </c>
      <c r="L96" s="1">
        <v>79007610.299999997</v>
      </c>
      <c r="M96" s="1">
        <v>76843632.140000001</v>
      </c>
      <c r="N96" s="1">
        <v>11332.6</v>
      </c>
      <c r="O96" s="3">
        <f>Tabela1[[#This Row],[Total de receitas brutas realizadas - R$ '[2024']]]-Tabela1[[#This Row],[Total de despesas brutas empenhadas - R$ '[2024']]]</f>
        <v>2163978.1599999964</v>
      </c>
      <c r="P96" s="1">
        <f>(Tabela1[[#This Row],[Total de receitas brutas realizadas - R$ '[2024']]]-Tabela1[[#This Row],[Total de despesas brutas empenhadas - R$ '[2024']]])/Tabela1[[#This Row],[População estimada - pessoas '[2025']]]</f>
        <v>161.29831246273079</v>
      </c>
      <c r="Q96" s="1">
        <f>Tabela1[[#This Row],[Total de receitas brutas realizadas - R$ '[2024']]]/Tabela1[[#This Row],[População estimada - pessoas '[2025']]]</f>
        <v>5889.0586091234345</v>
      </c>
      <c r="R9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7" spans="1:18" x14ac:dyDescent="0.25">
      <c r="A97" t="s">
        <v>294</v>
      </c>
      <c r="B97">
        <v>2608255</v>
      </c>
      <c r="C97" t="s">
        <v>295</v>
      </c>
      <c r="D97" t="s">
        <v>296</v>
      </c>
      <c r="E97">
        <v>120.167</v>
      </c>
      <c r="F97">
        <v>11517</v>
      </c>
      <c r="G97">
        <v>95.56</v>
      </c>
      <c r="H97">
        <v>12023</v>
      </c>
      <c r="I97">
        <v>99.49</v>
      </c>
      <c r="J97">
        <v>0.55000000000000004</v>
      </c>
      <c r="K97">
        <v>6.9</v>
      </c>
      <c r="L97" s="1">
        <v>91426876.260000005</v>
      </c>
      <c r="M97" s="1">
        <v>86375484.319999993</v>
      </c>
      <c r="N97" s="1">
        <v>11197.05</v>
      </c>
      <c r="O97" s="3">
        <f>Tabela1[[#This Row],[Total de receitas brutas realizadas - R$ '[2024']]]-Tabela1[[#This Row],[Total de despesas brutas empenhadas - R$ '[2024']]]</f>
        <v>5051391.9400000125</v>
      </c>
      <c r="P97" s="1">
        <f>(Tabela1[[#This Row],[Total de receitas brutas realizadas - R$ '[2024']]]-Tabela1[[#This Row],[Total de despesas brutas empenhadas - R$ '[2024']]])/Tabela1[[#This Row],[População estimada - pessoas '[2025']]]</f>
        <v>420.14405223322069</v>
      </c>
      <c r="Q97" s="1">
        <f>Tabela1[[#This Row],[Total de receitas brutas realizadas - R$ '[2024']]]/Tabela1[[#This Row],[População estimada - pessoas '[2025']]]</f>
        <v>7604.3313865091914</v>
      </c>
      <c r="R9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8" spans="1:18" x14ac:dyDescent="0.25">
      <c r="A98" t="s">
        <v>297</v>
      </c>
      <c r="B98">
        <v>2608305</v>
      </c>
      <c r="C98" t="s">
        <v>298</v>
      </c>
      <c r="D98" t="s">
        <v>299</v>
      </c>
      <c r="E98">
        <v>104.83499999999999</v>
      </c>
      <c r="F98">
        <v>15329</v>
      </c>
      <c r="G98">
        <v>146.22</v>
      </c>
      <c r="H98">
        <v>16022</v>
      </c>
      <c r="I98">
        <v>99.72</v>
      </c>
      <c r="J98">
        <v>0.57499999999999996</v>
      </c>
      <c r="K98">
        <v>12.45</v>
      </c>
      <c r="L98" s="1">
        <v>132421582.8</v>
      </c>
      <c r="M98" s="1">
        <v>142769517.11000001</v>
      </c>
      <c r="N98" s="1">
        <v>14274.96</v>
      </c>
      <c r="O98" s="3">
        <f>Tabela1[[#This Row],[Total de receitas brutas realizadas - R$ '[2024']]]-Tabela1[[#This Row],[Total de despesas brutas empenhadas - R$ '[2024']]]</f>
        <v>-10347934.310000017</v>
      </c>
      <c r="P98" s="1">
        <f>(Tabela1[[#This Row],[Total de receitas brutas realizadas - R$ '[2024']]]-Tabela1[[#This Row],[Total de despesas brutas empenhadas - R$ '[2024']]])/Tabela1[[#This Row],[População estimada - pessoas '[2025']]]</f>
        <v>-645.8578398452139</v>
      </c>
      <c r="Q98" s="1">
        <f>Tabela1[[#This Row],[Total de receitas brutas realizadas - R$ '[2024']]]/Tabela1[[#This Row],[População estimada - pessoas '[2025']]]</f>
        <v>8264.9845712145798</v>
      </c>
      <c r="R9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99" spans="1:18" x14ac:dyDescent="0.25">
      <c r="A99" t="s">
        <v>300</v>
      </c>
      <c r="B99">
        <v>2608404</v>
      </c>
      <c r="C99" t="s">
        <v>301</v>
      </c>
      <c r="D99" t="s">
        <v>302</v>
      </c>
      <c r="E99">
        <v>148.25399999999999</v>
      </c>
      <c r="F99">
        <v>13648</v>
      </c>
      <c r="G99">
        <v>92.06</v>
      </c>
      <c r="H99">
        <v>14002</v>
      </c>
      <c r="I99">
        <v>99.13</v>
      </c>
      <c r="J99">
        <v>0.50900000000000001</v>
      </c>
      <c r="K99">
        <v>16.95</v>
      </c>
      <c r="L99" s="1">
        <v>96937075.560000002</v>
      </c>
      <c r="M99" s="1">
        <v>89891769.609999999</v>
      </c>
      <c r="N99" s="1">
        <v>8579.73</v>
      </c>
      <c r="O99" s="3">
        <f>Tabela1[[#This Row],[Total de receitas brutas realizadas - R$ '[2024']]]-Tabela1[[#This Row],[Total de despesas brutas empenhadas - R$ '[2024']]]</f>
        <v>7045305.950000003</v>
      </c>
      <c r="P99" s="1">
        <f>(Tabela1[[#This Row],[Total de receitas brutas realizadas - R$ '[2024']]]-Tabela1[[#This Row],[Total de despesas brutas empenhadas - R$ '[2024']]])/Tabela1[[#This Row],[População estimada - pessoas '[2025']]]</f>
        <v>503.16425867733204</v>
      </c>
      <c r="Q99" s="1">
        <f>Tabela1[[#This Row],[Total de receitas brutas realizadas - R$ '[2024']]]/Tabela1[[#This Row],[População estimada - pessoas '[2025']]]</f>
        <v>6923.0878131695472</v>
      </c>
      <c r="R9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00" spans="1:18" x14ac:dyDescent="0.25">
      <c r="A100" t="s">
        <v>303</v>
      </c>
      <c r="B100">
        <v>2608453</v>
      </c>
      <c r="C100" t="s">
        <v>304</v>
      </c>
      <c r="D100" t="s">
        <v>305</v>
      </c>
      <c r="E100">
        <v>69.244</v>
      </c>
      <c r="F100">
        <v>17981</v>
      </c>
      <c r="G100">
        <v>258.10000000000002</v>
      </c>
      <c r="H100">
        <v>18804</v>
      </c>
      <c r="I100">
        <v>97.55</v>
      </c>
      <c r="J100">
        <v>0.60899999999999999</v>
      </c>
      <c r="K100">
        <v>28.44</v>
      </c>
      <c r="L100" s="1">
        <v>107023057.70999999</v>
      </c>
      <c r="M100" s="1">
        <v>99085247.319999993</v>
      </c>
      <c r="N100" s="1">
        <v>16313.12</v>
      </c>
      <c r="O100" s="3">
        <f>Tabela1[[#This Row],[Total de receitas brutas realizadas - R$ '[2024']]]-Tabela1[[#This Row],[Total de despesas brutas empenhadas - R$ '[2024']]]</f>
        <v>7937810.3900000006</v>
      </c>
      <c r="P100" s="1">
        <f>(Tabela1[[#This Row],[Total de receitas brutas realizadas - R$ '[2024']]]-Tabela1[[#This Row],[Total de despesas brutas empenhadas - R$ '[2024']]])/Tabela1[[#This Row],[População estimada - pessoas '[2025']]]</f>
        <v>422.13414114018298</v>
      </c>
      <c r="Q100" s="1">
        <f>Tabela1[[#This Row],[Total de receitas brutas realizadas - R$ '[2024']]]/Tabela1[[#This Row],[População estimada - pessoas '[2025']]]</f>
        <v>5691.5048771537968</v>
      </c>
      <c r="R10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01" spans="1:18" x14ac:dyDescent="0.25">
      <c r="A101" t="s">
        <v>306</v>
      </c>
      <c r="B101">
        <v>2608503</v>
      </c>
      <c r="C101" t="s">
        <v>307</v>
      </c>
      <c r="D101" t="s">
        <v>308</v>
      </c>
      <c r="E101">
        <v>57.298000000000002</v>
      </c>
      <c r="F101">
        <v>19003</v>
      </c>
      <c r="G101">
        <v>338.55</v>
      </c>
      <c r="H101">
        <v>19863</v>
      </c>
      <c r="I101">
        <v>98.86</v>
      </c>
      <c r="J101">
        <v>0.60199999999999998</v>
      </c>
      <c r="K101">
        <v>20.41</v>
      </c>
      <c r="L101" s="1">
        <v>123147699.48999999</v>
      </c>
      <c r="M101" s="1">
        <v>114445943.77</v>
      </c>
      <c r="N101" s="1">
        <v>22468.99</v>
      </c>
      <c r="O101" s="3">
        <f>Tabela1[[#This Row],[Total de receitas brutas realizadas - R$ '[2024']]]-Tabela1[[#This Row],[Total de despesas brutas empenhadas - R$ '[2024']]]</f>
        <v>8701755.7199999988</v>
      </c>
      <c r="P101" s="1">
        <f>(Tabela1[[#This Row],[Total de receitas brutas realizadas - R$ '[2024']]]-Tabela1[[#This Row],[Total de despesas brutas empenhadas - R$ '[2024']]])/Tabela1[[#This Row],[População estimada - pessoas '[2025']]]</f>
        <v>438.08869355082305</v>
      </c>
      <c r="Q101" s="1">
        <f>Tabela1[[#This Row],[Total de receitas brutas realizadas - R$ '[2024']]]/Tabela1[[#This Row],[População estimada - pessoas '[2025']]]</f>
        <v>6199.8539742234307</v>
      </c>
      <c r="R10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02" spans="1:18" x14ac:dyDescent="0.25">
      <c r="A102" t="s">
        <v>309</v>
      </c>
      <c r="B102">
        <v>2608602</v>
      </c>
      <c r="C102" t="s">
        <v>310</v>
      </c>
      <c r="D102" t="s">
        <v>311</v>
      </c>
      <c r="E102">
        <v>199.99600000000001</v>
      </c>
      <c r="F102">
        <v>11933</v>
      </c>
      <c r="G102">
        <v>60.04</v>
      </c>
      <c r="H102">
        <v>12367</v>
      </c>
      <c r="I102">
        <v>99.38</v>
      </c>
      <c r="J102">
        <v>0.52500000000000002</v>
      </c>
      <c r="K102">
        <v>6.99</v>
      </c>
      <c r="L102" s="1">
        <v>100014519.01000001</v>
      </c>
      <c r="M102" s="1">
        <v>98178836.989999995</v>
      </c>
      <c r="N102" s="1">
        <v>10467.9</v>
      </c>
      <c r="O102" s="3">
        <f>Tabela1[[#This Row],[Total de receitas brutas realizadas - R$ '[2024']]]-Tabela1[[#This Row],[Total de despesas brutas empenhadas - R$ '[2024']]]</f>
        <v>1835682.0200000107</v>
      </c>
      <c r="P102" s="1">
        <f>(Tabela1[[#This Row],[Total de receitas brutas realizadas - R$ '[2024']]]-Tabela1[[#This Row],[Total de despesas brutas empenhadas - R$ '[2024']]])/Tabela1[[#This Row],[População estimada - pessoas '[2025']]]</f>
        <v>148.43389827767533</v>
      </c>
      <c r="Q102" s="1">
        <f>Tabela1[[#This Row],[Total de receitas brutas realizadas - R$ '[2024']]]/Tabela1[[#This Row],[População estimada - pessoas '[2025']]]</f>
        <v>8087.2094291259</v>
      </c>
      <c r="R10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03" spans="1:18" x14ac:dyDescent="0.25">
      <c r="A103" t="s">
        <v>312</v>
      </c>
      <c r="B103">
        <v>2608701</v>
      </c>
      <c r="C103" t="s">
        <v>313</v>
      </c>
      <c r="D103" t="s">
        <v>314</v>
      </c>
      <c r="E103">
        <v>224.947</v>
      </c>
      <c r="F103">
        <v>14076</v>
      </c>
      <c r="G103">
        <v>62.57</v>
      </c>
      <c r="H103">
        <v>14333</v>
      </c>
      <c r="I103">
        <v>98.72</v>
      </c>
      <c r="J103">
        <v>0.55100000000000005</v>
      </c>
      <c r="K103">
        <v>18.63</v>
      </c>
      <c r="L103" s="1">
        <v>89622687.829999998</v>
      </c>
      <c r="M103" s="1">
        <v>76302967.280000001</v>
      </c>
      <c r="N103" s="1">
        <v>8286.49</v>
      </c>
      <c r="O103" s="3">
        <f>Tabela1[[#This Row],[Total de receitas brutas realizadas - R$ '[2024']]]-Tabela1[[#This Row],[Total de despesas brutas empenhadas - R$ '[2024']]]</f>
        <v>13319720.549999997</v>
      </c>
      <c r="P103" s="1">
        <f>(Tabela1[[#This Row],[Total de receitas brutas realizadas - R$ '[2024']]]-Tabela1[[#This Row],[Total de despesas brutas empenhadas - R$ '[2024']]])/Tabela1[[#This Row],[População estimada - pessoas '[2025']]]</f>
        <v>929.30444080094867</v>
      </c>
      <c r="Q103" s="1">
        <f>Tabela1[[#This Row],[Total de receitas brutas realizadas - R$ '[2024']]]/Tabela1[[#This Row],[População estimada - pessoas '[2025']]]</f>
        <v>6252.8910786297356</v>
      </c>
      <c r="R10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04" spans="1:18" x14ac:dyDescent="0.25">
      <c r="A104" t="s">
        <v>315</v>
      </c>
      <c r="B104">
        <v>2608750</v>
      </c>
      <c r="C104" t="s">
        <v>316</v>
      </c>
      <c r="D104" t="s">
        <v>317</v>
      </c>
      <c r="E104">
        <v>1850.07</v>
      </c>
      <c r="F104">
        <v>24088</v>
      </c>
      <c r="G104">
        <v>13.02</v>
      </c>
      <c r="H104">
        <v>24951</v>
      </c>
      <c r="I104">
        <v>97.59</v>
      </c>
      <c r="J104">
        <v>0.59699999999999998</v>
      </c>
      <c r="K104">
        <v>14.37</v>
      </c>
      <c r="L104" s="1">
        <v>175289740.63999999</v>
      </c>
      <c r="M104" s="1">
        <v>166361095.03999999</v>
      </c>
      <c r="N104" s="1">
        <v>17510.3</v>
      </c>
      <c r="O104" s="3">
        <f>Tabela1[[#This Row],[Total de receitas brutas realizadas - R$ '[2024']]]-Tabela1[[#This Row],[Total de despesas brutas empenhadas - R$ '[2024']]]</f>
        <v>8928645.599999994</v>
      </c>
      <c r="P104" s="1">
        <f>(Tabela1[[#This Row],[Total de receitas brutas realizadas - R$ '[2024']]]-Tabela1[[#This Row],[Total de despesas brutas empenhadas - R$ '[2024']]])/Tabela1[[#This Row],[População estimada - pessoas '[2025']]]</f>
        <v>357.84720452086066</v>
      </c>
      <c r="Q104" s="1">
        <f>Tabela1[[#This Row],[Total de receitas brutas realizadas - R$ '[2024']]]/Tabela1[[#This Row],[População estimada - pessoas '[2025']]]</f>
        <v>7025.3593298865771</v>
      </c>
      <c r="R10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05" spans="1:18" x14ac:dyDescent="0.25">
      <c r="A105" t="s">
        <v>318</v>
      </c>
      <c r="B105">
        <v>2608800</v>
      </c>
      <c r="C105" t="s">
        <v>319</v>
      </c>
      <c r="D105" t="s">
        <v>320</v>
      </c>
      <c r="E105">
        <v>189.096</v>
      </c>
      <c r="F105">
        <v>39582</v>
      </c>
      <c r="G105">
        <v>209.32</v>
      </c>
      <c r="H105">
        <v>41960</v>
      </c>
      <c r="I105">
        <v>96.88</v>
      </c>
      <c r="J105">
        <v>0.61099999999999999</v>
      </c>
      <c r="K105">
        <v>17.940000000000001</v>
      </c>
      <c r="L105" s="1">
        <v>204088041.96000001</v>
      </c>
      <c r="M105" s="1">
        <v>199062506.31</v>
      </c>
      <c r="N105" s="1">
        <v>14323.21</v>
      </c>
      <c r="O105" s="3">
        <f>Tabela1[[#This Row],[Total de receitas brutas realizadas - R$ '[2024']]]-Tabela1[[#This Row],[Total de despesas brutas empenhadas - R$ '[2024']]]</f>
        <v>5025535.650000006</v>
      </c>
      <c r="P105" s="1">
        <f>(Tabela1[[#This Row],[Total de receitas brutas realizadas - R$ '[2024']]]-Tabela1[[#This Row],[Total de despesas brutas empenhadas - R$ '[2024']]])/Tabela1[[#This Row],[População estimada - pessoas '[2025']]]</f>
        <v>119.76967707340339</v>
      </c>
      <c r="Q105" s="1">
        <f>Tabela1[[#This Row],[Total de receitas brutas realizadas - R$ '[2024']]]/Tabela1[[#This Row],[População estimada - pessoas '[2025']]]</f>
        <v>4863.8713527168738</v>
      </c>
      <c r="R10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06" spans="1:18" x14ac:dyDescent="0.25">
      <c r="A106" t="s">
        <v>321</v>
      </c>
      <c r="B106">
        <v>2608909</v>
      </c>
      <c r="C106" t="s">
        <v>322</v>
      </c>
      <c r="D106" t="s">
        <v>323</v>
      </c>
      <c r="E106">
        <v>273.733</v>
      </c>
      <c r="F106">
        <v>56510</v>
      </c>
      <c r="G106">
        <v>206.44</v>
      </c>
      <c r="H106">
        <v>59236</v>
      </c>
      <c r="I106">
        <v>98.61</v>
      </c>
      <c r="J106">
        <v>0.66300000000000003</v>
      </c>
      <c r="K106">
        <v>18.75</v>
      </c>
      <c r="L106" s="1">
        <v>273252538.68000001</v>
      </c>
      <c r="M106" s="1">
        <v>230633686.25999999</v>
      </c>
      <c r="N106" s="1">
        <v>14930.68</v>
      </c>
      <c r="O106" s="3">
        <f>Tabela1[[#This Row],[Total de receitas brutas realizadas - R$ '[2024']]]-Tabela1[[#This Row],[Total de despesas brutas empenhadas - R$ '[2024']]]</f>
        <v>42618852.420000017</v>
      </c>
      <c r="P106" s="1">
        <f>(Tabela1[[#This Row],[Total de receitas brutas realizadas - R$ '[2024']]]-Tabela1[[#This Row],[Total de despesas brutas empenhadas - R$ '[2024']]])/Tabela1[[#This Row],[População estimada - pessoas '[2025']]]</f>
        <v>719.47552873252778</v>
      </c>
      <c r="Q106" s="1">
        <f>Tabela1[[#This Row],[Total de receitas brutas realizadas - R$ '[2024']]]/Tabela1[[#This Row],[População estimada - pessoas '[2025']]]</f>
        <v>4612.9471719900066</v>
      </c>
      <c r="R10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07" spans="1:18" x14ac:dyDescent="0.25">
      <c r="A107" t="s">
        <v>324</v>
      </c>
      <c r="B107">
        <v>2609006</v>
      </c>
      <c r="C107" t="s">
        <v>325</v>
      </c>
      <c r="D107" t="s">
        <v>326</v>
      </c>
      <c r="E107">
        <v>108.04900000000001</v>
      </c>
      <c r="F107">
        <v>23879</v>
      </c>
      <c r="G107">
        <v>221</v>
      </c>
      <c r="H107">
        <v>24642</v>
      </c>
      <c r="I107">
        <v>98.56</v>
      </c>
      <c r="J107">
        <v>0.60899999999999999</v>
      </c>
      <c r="K107">
        <v>9.4600000000000009</v>
      </c>
      <c r="L107" s="1">
        <v>136466664.59999999</v>
      </c>
      <c r="M107" s="1">
        <v>133972108.79000001</v>
      </c>
      <c r="N107" s="1">
        <v>11092.43</v>
      </c>
      <c r="O107" s="3">
        <f>Tabela1[[#This Row],[Total de receitas brutas realizadas - R$ '[2024']]]-Tabela1[[#This Row],[Total de despesas brutas empenhadas - R$ '[2024']]]</f>
        <v>2494555.8099999875</v>
      </c>
      <c r="P107" s="1">
        <f>(Tabela1[[#This Row],[Total de receitas brutas realizadas - R$ '[2024']]]-Tabela1[[#This Row],[Total de despesas brutas empenhadas - R$ '[2024']]])/Tabela1[[#This Row],[População estimada - pessoas '[2025']]]</f>
        <v>101.2318728187642</v>
      </c>
      <c r="Q107" s="1">
        <f>Tabela1[[#This Row],[Total de receitas brutas realizadas - R$ '[2024']]]/Tabela1[[#This Row],[População estimada - pessoas '[2025']]]</f>
        <v>5537.9703189676156</v>
      </c>
      <c r="R10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08" spans="1:18" x14ac:dyDescent="0.25">
      <c r="A108" t="s">
        <v>327</v>
      </c>
      <c r="B108">
        <v>2609105</v>
      </c>
      <c r="C108" t="s">
        <v>328</v>
      </c>
      <c r="D108" t="s">
        <v>329</v>
      </c>
      <c r="E108">
        <v>58.32</v>
      </c>
      <c r="F108">
        <v>11333</v>
      </c>
      <c r="G108">
        <v>183.92</v>
      </c>
      <c r="H108">
        <v>11387</v>
      </c>
      <c r="I108">
        <v>98.51</v>
      </c>
      <c r="J108">
        <v>0.57799999999999996</v>
      </c>
      <c r="K108">
        <v>13.51</v>
      </c>
      <c r="L108" s="1">
        <v>96161674.469999999</v>
      </c>
      <c r="M108" s="1">
        <v>87781346.290000007</v>
      </c>
      <c r="N108" s="1">
        <v>13069.99</v>
      </c>
      <c r="O108" s="3">
        <f>Tabela1[[#This Row],[Total de receitas brutas realizadas - R$ '[2024']]]-Tabela1[[#This Row],[Total de despesas brutas empenhadas - R$ '[2024']]]</f>
        <v>8380328.1799999923</v>
      </c>
      <c r="P108" s="1">
        <f>(Tabela1[[#This Row],[Total de receitas brutas realizadas - R$ '[2024']]]-Tabela1[[#This Row],[Total de despesas brutas empenhadas - R$ '[2024']]])/Tabela1[[#This Row],[População estimada - pessoas '[2025']]]</f>
        <v>735.95575480811385</v>
      </c>
      <c r="Q108" s="1">
        <f>Tabela1[[#This Row],[Total de receitas brutas realizadas - R$ '[2024']]]/Tabela1[[#This Row],[População estimada - pessoas '[2025']]]</f>
        <v>8444.8647115131298</v>
      </c>
      <c r="R10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09" spans="1:18" x14ac:dyDescent="0.25">
      <c r="A109" t="s">
        <v>330</v>
      </c>
      <c r="B109">
        <v>2609154</v>
      </c>
      <c r="C109" t="s">
        <v>331</v>
      </c>
      <c r="D109" t="s">
        <v>332</v>
      </c>
      <c r="E109">
        <v>386.57</v>
      </c>
      <c r="F109">
        <v>23763</v>
      </c>
      <c r="G109">
        <v>68.94</v>
      </c>
      <c r="H109">
        <v>27046</v>
      </c>
      <c r="I109">
        <v>98.68</v>
      </c>
      <c r="J109">
        <v>0.48699999999999999</v>
      </c>
      <c r="K109">
        <v>15.09</v>
      </c>
      <c r="L109" s="1">
        <v>113756412.98999999</v>
      </c>
      <c r="M109" s="1">
        <v>111378465.03</v>
      </c>
      <c r="N109" s="1">
        <v>6293.67</v>
      </c>
      <c r="O109" s="3">
        <f>Tabela1[[#This Row],[Total de receitas brutas realizadas - R$ '[2024']]]-Tabela1[[#This Row],[Total de despesas brutas empenhadas - R$ '[2024']]]</f>
        <v>2377947.9599999934</v>
      </c>
      <c r="P109" s="1">
        <f>(Tabela1[[#This Row],[Total de receitas brutas realizadas - R$ '[2024']]]-Tabela1[[#This Row],[Total de despesas brutas empenhadas - R$ '[2024']]])/Tabela1[[#This Row],[População estimada - pessoas '[2025']]]</f>
        <v>87.922353028173973</v>
      </c>
      <c r="Q109" s="1">
        <f>Tabela1[[#This Row],[Total de receitas brutas realizadas - R$ '[2024']]]/Tabela1[[#This Row],[População estimada - pessoas '[2025']]]</f>
        <v>4206.0346443096942</v>
      </c>
      <c r="R10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Muito Baixo</v>
      </c>
    </row>
    <row r="110" spans="1:18" x14ac:dyDescent="0.25">
      <c r="A110" t="s">
        <v>333</v>
      </c>
      <c r="B110">
        <v>2609204</v>
      </c>
      <c r="C110" t="s">
        <v>334</v>
      </c>
      <c r="D110" t="s">
        <v>335</v>
      </c>
      <c r="E110">
        <v>199.86500000000001</v>
      </c>
      <c r="F110">
        <v>9359</v>
      </c>
      <c r="G110">
        <v>46.83</v>
      </c>
      <c r="H110">
        <v>9322</v>
      </c>
      <c r="I110">
        <v>98.5</v>
      </c>
      <c r="J110">
        <v>0.53400000000000003</v>
      </c>
      <c r="K110">
        <v>25.32</v>
      </c>
      <c r="L110" s="1">
        <v>65015065.289999999</v>
      </c>
      <c r="M110" s="1">
        <v>58007547.630000003</v>
      </c>
      <c r="N110" s="1">
        <v>8333.9</v>
      </c>
      <c r="O110" s="3">
        <f>Tabela1[[#This Row],[Total de receitas brutas realizadas - R$ '[2024']]]-Tabela1[[#This Row],[Total de despesas brutas empenhadas - R$ '[2024']]]</f>
        <v>7007517.6599999964</v>
      </c>
      <c r="P110" s="1">
        <f>(Tabela1[[#This Row],[Total de receitas brutas realizadas - R$ '[2024']]]-Tabela1[[#This Row],[Total de despesas brutas empenhadas - R$ '[2024']]])/Tabela1[[#This Row],[População estimada - pessoas '[2025']]]</f>
        <v>751.71826432096077</v>
      </c>
      <c r="Q110" s="1">
        <f>Tabela1[[#This Row],[Total de receitas brutas realizadas - R$ '[2024']]]/Tabela1[[#This Row],[População estimada - pessoas '[2025']]]</f>
        <v>6974.3687288135588</v>
      </c>
      <c r="R11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11" spans="1:18" x14ac:dyDescent="0.25">
      <c r="A111" t="s">
        <v>336</v>
      </c>
      <c r="B111">
        <v>2609303</v>
      </c>
      <c r="C111" t="s">
        <v>337</v>
      </c>
      <c r="D111" t="s">
        <v>338</v>
      </c>
      <c r="E111">
        <v>821.67600000000004</v>
      </c>
      <c r="F111">
        <v>14166</v>
      </c>
      <c r="G111">
        <v>17.239999999999998</v>
      </c>
      <c r="H111">
        <v>14605</v>
      </c>
      <c r="I111">
        <v>97.26</v>
      </c>
      <c r="J111">
        <v>0.59099999999999997</v>
      </c>
      <c r="K111">
        <v>13.64</v>
      </c>
      <c r="L111" s="1">
        <v>89285940.010000005</v>
      </c>
      <c r="M111" s="1">
        <v>83209682.579999998</v>
      </c>
      <c r="N111" s="1">
        <v>10509.75</v>
      </c>
      <c r="O111" s="3">
        <f>Tabela1[[#This Row],[Total de receitas brutas realizadas - R$ '[2024']]]-Tabela1[[#This Row],[Total de despesas brutas empenhadas - R$ '[2024']]]</f>
        <v>6076257.4300000072</v>
      </c>
      <c r="P111" s="1">
        <f>(Tabela1[[#This Row],[Total de receitas brutas realizadas - R$ '[2024']]]-Tabela1[[#This Row],[Total de despesas brutas empenhadas - R$ '[2024']]])/Tabela1[[#This Row],[População estimada - pessoas '[2025']]]</f>
        <v>416.03953646011689</v>
      </c>
      <c r="Q111" s="1">
        <f>Tabela1[[#This Row],[Total de receitas brutas realizadas - R$ '[2024']]]/Tabela1[[#This Row],[População estimada - pessoas '[2025']]]</f>
        <v>6113.3817192742217</v>
      </c>
      <c r="R11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12" spans="1:18" x14ac:dyDescent="0.25">
      <c r="A112" t="s">
        <v>339</v>
      </c>
      <c r="B112">
        <v>2609402</v>
      </c>
      <c r="C112" t="s">
        <v>340</v>
      </c>
      <c r="D112" t="s">
        <v>341</v>
      </c>
      <c r="E112">
        <v>194.197</v>
      </c>
      <c r="F112">
        <v>55292</v>
      </c>
      <c r="G112">
        <v>284.72000000000003</v>
      </c>
      <c r="H112">
        <v>57654</v>
      </c>
      <c r="I112">
        <v>98.49</v>
      </c>
      <c r="J112">
        <v>0.65200000000000002</v>
      </c>
      <c r="K112">
        <v>19.850000000000001</v>
      </c>
      <c r="L112" s="1">
        <v>223175839.59999999</v>
      </c>
      <c r="M112" s="1">
        <v>225475348.06</v>
      </c>
      <c r="N112" s="1">
        <v>13990.88</v>
      </c>
      <c r="O112" s="3">
        <f>Tabela1[[#This Row],[Total de receitas brutas realizadas - R$ '[2024']]]-Tabela1[[#This Row],[Total de despesas brutas empenhadas - R$ '[2024']]]</f>
        <v>-2299508.4600000083</v>
      </c>
      <c r="P112" s="1">
        <f>(Tabela1[[#This Row],[Total de receitas brutas realizadas - R$ '[2024']]]-Tabela1[[#This Row],[Total de despesas brutas empenhadas - R$ '[2024']]])/Tabela1[[#This Row],[População estimada - pessoas '[2025']]]</f>
        <v>-39.884630034342948</v>
      </c>
      <c r="Q112" s="1">
        <f>Tabela1[[#This Row],[Total de receitas brutas realizadas - R$ '[2024']]]/Tabela1[[#This Row],[População estimada - pessoas '[2025']]]</f>
        <v>3870.9515315502827</v>
      </c>
      <c r="R11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13" spans="1:18" x14ac:dyDescent="0.25">
      <c r="A113" t="s">
        <v>342</v>
      </c>
      <c r="B113">
        <v>2609501</v>
      </c>
      <c r="C113" t="s">
        <v>343</v>
      </c>
      <c r="D113" t="s">
        <v>344</v>
      </c>
      <c r="E113">
        <v>130.572</v>
      </c>
      <c r="F113">
        <v>30648</v>
      </c>
      <c r="G113">
        <v>234.72</v>
      </c>
      <c r="H113">
        <v>32187</v>
      </c>
      <c r="I113">
        <v>99.46</v>
      </c>
      <c r="J113">
        <v>0.66200000000000003</v>
      </c>
      <c r="K113">
        <v>9.9</v>
      </c>
      <c r="L113" s="1">
        <v>120855761.98999999</v>
      </c>
      <c r="M113" s="1">
        <v>121227992.48</v>
      </c>
      <c r="N113" s="1">
        <v>21071.46</v>
      </c>
      <c r="O113" s="3">
        <f>Tabela1[[#This Row],[Total de receitas brutas realizadas - R$ '[2024']]]-Tabela1[[#This Row],[Total de despesas brutas empenhadas - R$ '[2024']]]</f>
        <v>-372230.49000000954</v>
      </c>
      <c r="P113" s="1">
        <f>(Tabela1[[#This Row],[Total de receitas brutas realizadas - R$ '[2024']]]-Tabela1[[#This Row],[Total de despesas brutas empenhadas - R$ '[2024']]])/Tabela1[[#This Row],[População estimada - pessoas '[2025']]]</f>
        <v>-11.564622052381692</v>
      </c>
      <c r="Q113" s="1">
        <f>Tabela1[[#This Row],[Total de receitas brutas realizadas - R$ '[2024']]]/Tabela1[[#This Row],[População estimada - pessoas '[2025']]]</f>
        <v>3754.8004470749061</v>
      </c>
      <c r="R11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14" spans="1:18" x14ac:dyDescent="0.25">
      <c r="A114" t="s">
        <v>345</v>
      </c>
      <c r="B114">
        <v>2609600</v>
      </c>
      <c r="C114" t="s">
        <v>346</v>
      </c>
      <c r="D114" t="s">
        <v>347</v>
      </c>
      <c r="E114">
        <v>41.3</v>
      </c>
      <c r="F114">
        <v>349976</v>
      </c>
      <c r="G114">
        <v>8474</v>
      </c>
      <c r="H114">
        <v>364717</v>
      </c>
      <c r="I114">
        <v>98.28</v>
      </c>
      <c r="J114">
        <v>0.73499999999999999</v>
      </c>
      <c r="K114">
        <v>11.53</v>
      </c>
      <c r="L114" s="1">
        <v>1165401241.51</v>
      </c>
      <c r="M114" s="1">
        <v>1147475096.23</v>
      </c>
      <c r="N114" s="1">
        <v>14700.91</v>
      </c>
      <c r="O114" s="3">
        <f>Tabela1[[#This Row],[Total de receitas brutas realizadas - R$ '[2024']]]-Tabela1[[#This Row],[Total de despesas brutas empenhadas - R$ '[2024']]]</f>
        <v>17926145.279999971</v>
      </c>
      <c r="P114" s="1">
        <f>(Tabela1[[#This Row],[Total de receitas brutas realizadas - R$ '[2024']]]-Tabela1[[#This Row],[Total de despesas brutas empenhadas - R$ '[2024']]])/Tabela1[[#This Row],[População estimada - pessoas '[2025']]]</f>
        <v>49.150835524529903</v>
      </c>
      <c r="Q114" s="1">
        <f>Tabela1[[#This Row],[Total de receitas brutas realizadas - R$ '[2024']]]/Tabela1[[#This Row],[População estimada - pessoas '[2025']]]</f>
        <v>3195.3576101744638</v>
      </c>
      <c r="R11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Alto</v>
      </c>
    </row>
    <row r="115" spans="1:18" x14ac:dyDescent="0.25">
      <c r="A115" t="s">
        <v>348</v>
      </c>
      <c r="B115">
        <v>2609709</v>
      </c>
      <c r="C115" t="s">
        <v>349</v>
      </c>
      <c r="D115" t="s">
        <v>350</v>
      </c>
      <c r="E115">
        <v>138.36199999999999</v>
      </c>
      <c r="F115">
        <v>21808</v>
      </c>
      <c r="G115">
        <v>157.43</v>
      </c>
      <c r="H115">
        <v>22412</v>
      </c>
      <c r="I115">
        <v>99.77</v>
      </c>
      <c r="J115">
        <v>0.61</v>
      </c>
      <c r="K115">
        <v>3.91</v>
      </c>
      <c r="L115" s="1">
        <v>151482453.83000001</v>
      </c>
      <c r="M115" s="1">
        <v>138012894.06</v>
      </c>
      <c r="N115" s="1">
        <v>16626.830000000002</v>
      </c>
      <c r="O115" s="3">
        <f>Tabela1[[#This Row],[Total de receitas brutas realizadas - R$ '[2024']]]-Tabela1[[#This Row],[Total de despesas brutas empenhadas - R$ '[2024']]]</f>
        <v>13469559.770000011</v>
      </c>
      <c r="P115" s="1">
        <f>(Tabela1[[#This Row],[Total de receitas brutas realizadas - R$ '[2024']]]-Tabela1[[#This Row],[Total de despesas brutas empenhadas - R$ '[2024']]])/Tabela1[[#This Row],[População estimada - pessoas '[2025']]]</f>
        <v>600.9976695520262</v>
      </c>
      <c r="Q115" s="1">
        <f>Tabela1[[#This Row],[Total de receitas brutas realizadas - R$ '[2024']]]/Tabela1[[#This Row],[População estimada - pessoas '[2025']]]</f>
        <v>6758.9886592004286</v>
      </c>
      <c r="R11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16" spans="1:18" x14ac:dyDescent="0.25">
      <c r="A116" t="s">
        <v>351</v>
      </c>
      <c r="B116">
        <v>2609808</v>
      </c>
      <c r="C116" t="s">
        <v>352</v>
      </c>
      <c r="D116" t="s">
        <v>353</v>
      </c>
      <c r="E116">
        <v>554.75900000000001</v>
      </c>
      <c r="F116">
        <v>13613</v>
      </c>
      <c r="G116">
        <v>24.54</v>
      </c>
      <c r="H116">
        <v>14129</v>
      </c>
      <c r="I116">
        <v>98.44</v>
      </c>
      <c r="J116">
        <v>0.61</v>
      </c>
      <c r="K116" t="s">
        <v>24</v>
      </c>
      <c r="L116" s="1">
        <v>95361853.540000007</v>
      </c>
      <c r="M116" s="1">
        <v>91261318.670000002</v>
      </c>
      <c r="N116" s="1">
        <v>12178.95</v>
      </c>
      <c r="O116" s="3">
        <f>Tabela1[[#This Row],[Total de receitas brutas realizadas - R$ '[2024']]]-Tabela1[[#This Row],[Total de despesas brutas empenhadas - R$ '[2024']]]</f>
        <v>4100534.8700000048</v>
      </c>
      <c r="P116" s="1">
        <f>(Tabela1[[#This Row],[Total de receitas brutas realizadas - R$ '[2024']]]-Tabela1[[#This Row],[Total de despesas brutas empenhadas - R$ '[2024']]])/Tabela1[[#This Row],[População estimada - pessoas '[2025']]]</f>
        <v>290.22116710312156</v>
      </c>
      <c r="Q116" s="1">
        <f>Tabela1[[#This Row],[Total de receitas brutas realizadas - R$ '[2024']]]/Tabela1[[#This Row],[População estimada - pessoas '[2025']]]</f>
        <v>6749.3703404345679</v>
      </c>
      <c r="R11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17" spans="1:18" x14ac:dyDescent="0.25">
      <c r="A117" t="s">
        <v>354</v>
      </c>
      <c r="B117">
        <v>2609907</v>
      </c>
      <c r="C117" t="s">
        <v>355</v>
      </c>
      <c r="D117" t="s">
        <v>356</v>
      </c>
      <c r="E117">
        <v>2381.5700000000002</v>
      </c>
      <c r="F117">
        <v>65245</v>
      </c>
      <c r="G117">
        <v>27.4</v>
      </c>
      <c r="H117">
        <v>68489</v>
      </c>
      <c r="I117">
        <v>98.64</v>
      </c>
      <c r="J117">
        <v>0.57199999999999995</v>
      </c>
      <c r="K117">
        <v>21.76</v>
      </c>
      <c r="L117" s="1">
        <v>243759553.61000001</v>
      </c>
      <c r="M117" s="1">
        <v>267432401.59999999</v>
      </c>
      <c r="N117" s="1">
        <v>11076.44</v>
      </c>
      <c r="O117" s="3">
        <f>Tabela1[[#This Row],[Total de receitas brutas realizadas - R$ '[2024']]]-Tabela1[[#This Row],[Total de despesas brutas empenhadas - R$ '[2024']]]</f>
        <v>-23672847.98999998</v>
      </c>
      <c r="P117" s="1">
        <f>(Tabela1[[#This Row],[Total de receitas brutas realizadas - R$ '[2024']]]-Tabela1[[#This Row],[Total de despesas brutas empenhadas - R$ '[2024']]])/Tabela1[[#This Row],[População estimada - pessoas '[2025']]]</f>
        <v>-345.64452671231845</v>
      </c>
      <c r="Q117" s="1">
        <f>Tabela1[[#This Row],[Total de receitas brutas realizadas - R$ '[2024']]]/Tabela1[[#This Row],[População estimada - pessoas '[2025']]]</f>
        <v>3559.1051644789677</v>
      </c>
      <c r="R11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18" spans="1:18" x14ac:dyDescent="0.25">
      <c r="A118" t="s">
        <v>357</v>
      </c>
      <c r="B118">
        <v>2610004</v>
      </c>
      <c r="C118" t="s">
        <v>358</v>
      </c>
      <c r="D118" t="s">
        <v>359</v>
      </c>
      <c r="E118">
        <v>339.38799999999998</v>
      </c>
      <c r="F118">
        <v>54584</v>
      </c>
      <c r="G118">
        <v>160.82</v>
      </c>
      <c r="H118">
        <v>56475</v>
      </c>
      <c r="I118">
        <v>98.78</v>
      </c>
      <c r="J118">
        <v>0.622</v>
      </c>
      <c r="K118">
        <v>7.83</v>
      </c>
      <c r="L118" s="1">
        <v>373446010.95999998</v>
      </c>
      <c r="M118" s="1">
        <v>335026654.38</v>
      </c>
      <c r="N118" s="1">
        <v>14497.54</v>
      </c>
      <c r="O118" s="3">
        <f>Tabela1[[#This Row],[Total de receitas brutas realizadas - R$ '[2024']]]-Tabela1[[#This Row],[Total de despesas brutas empenhadas - R$ '[2024']]]</f>
        <v>38419356.579999983</v>
      </c>
      <c r="P118" s="1">
        <f>(Tabela1[[#This Row],[Total de receitas brutas realizadas - R$ '[2024']]]-Tabela1[[#This Row],[Total de despesas brutas empenhadas - R$ '[2024']]])/Tabela1[[#This Row],[População estimada - pessoas '[2025']]]</f>
        <v>680.28962514386865</v>
      </c>
      <c r="Q118" s="1">
        <f>Tabela1[[#This Row],[Total de receitas brutas realizadas - R$ '[2024']]]/Tabela1[[#This Row],[População estimada - pessoas '[2025']]]</f>
        <v>6612.5898355024347</v>
      </c>
      <c r="R11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19" spans="1:18" x14ac:dyDescent="0.25">
      <c r="A119" t="s">
        <v>360</v>
      </c>
      <c r="B119">
        <v>2610103</v>
      </c>
      <c r="C119" t="s">
        <v>361</v>
      </c>
      <c r="D119" t="s">
        <v>362</v>
      </c>
      <c r="E119">
        <v>169.012</v>
      </c>
      <c r="F119">
        <v>7031</v>
      </c>
      <c r="G119">
        <v>41.65</v>
      </c>
      <c r="H119">
        <v>7104</v>
      </c>
      <c r="I119">
        <v>99.69</v>
      </c>
      <c r="J119">
        <v>0.54900000000000004</v>
      </c>
      <c r="K119" t="s">
        <v>24</v>
      </c>
      <c r="L119" s="1">
        <v>54915280.82</v>
      </c>
      <c r="M119" s="1">
        <v>52253412.189999998</v>
      </c>
      <c r="N119" s="1">
        <v>10648.42</v>
      </c>
      <c r="O119" s="3">
        <f>Tabela1[[#This Row],[Total de receitas brutas realizadas - R$ '[2024']]]-Tabela1[[#This Row],[Total de despesas brutas empenhadas - R$ '[2024']]]</f>
        <v>2661868.6300000027</v>
      </c>
      <c r="P119" s="1">
        <f>(Tabela1[[#This Row],[Total de receitas brutas realizadas - R$ '[2024']]]-Tabela1[[#This Row],[Total de despesas brutas empenhadas - R$ '[2024']]])/Tabela1[[#This Row],[População estimada - pessoas '[2025']]]</f>
        <v>374.6999760698202</v>
      </c>
      <c r="Q119" s="1">
        <f>Tabela1[[#This Row],[Total de receitas brutas realizadas - R$ '[2024']]]/Tabela1[[#This Row],[População estimada - pessoas '[2025']]]</f>
        <v>7730.1915568693694</v>
      </c>
      <c r="R11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20" spans="1:18" x14ac:dyDescent="0.25">
      <c r="A120" t="s">
        <v>363</v>
      </c>
      <c r="B120">
        <v>2610202</v>
      </c>
      <c r="C120" t="s">
        <v>364</v>
      </c>
      <c r="D120" t="s">
        <v>365</v>
      </c>
      <c r="E120">
        <v>380.428</v>
      </c>
      <c r="F120">
        <v>22991</v>
      </c>
      <c r="G120">
        <v>60.43</v>
      </c>
      <c r="H120">
        <v>23337</v>
      </c>
      <c r="I120">
        <v>98.96</v>
      </c>
      <c r="J120">
        <v>0.56899999999999995</v>
      </c>
      <c r="K120">
        <v>12.46</v>
      </c>
      <c r="L120" s="1">
        <v>144059207.19999999</v>
      </c>
      <c r="M120" s="1">
        <v>154154841.34999999</v>
      </c>
      <c r="N120" s="1">
        <v>8682.82</v>
      </c>
      <c r="O120" s="3">
        <f>Tabela1[[#This Row],[Total de receitas brutas realizadas - R$ '[2024']]]-Tabela1[[#This Row],[Total de despesas brutas empenhadas - R$ '[2024']]]</f>
        <v>-10095634.150000006</v>
      </c>
      <c r="P120" s="1">
        <f>(Tabela1[[#This Row],[Total de receitas brutas realizadas - R$ '[2024']]]-Tabela1[[#This Row],[Total de despesas brutas empenhadas - R$ '[2024']]])/Tabela1[[#This Row],[População estimada - pessoas '[2025']]]</f>
        <v>-432.6020546771224</v>
      </c>
      <c r="Q120" s="1">
        <f>Tabela1[[#This Row],[Total de receitas brutas realizadas - R$ '[2024']]]/Tabela1[[#This Row],[População estimada - pessoas '[2025']]]</f>
        <v>6172.9959806316147</v>
      </c>
      <c r="R12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21" spans="1:18" x14ac:dyDescent="0.25">
      <c r="A121" t="s">
        <v>366</v>
      </c>
      <c r="B121">
        <v>2610301</v>
      </c>
      <c r="C121" t="s">
        <v>367</v>
      </c>
      <c r="D121" t="s">
        <v>368</v>
      </c>
      <c r="E121">
        <v>185.37100000000001</v>
      </c>
      <c r="F121">
        <v>12199</v>
      </c>
      <c r="G121">
        <v>65.81</v>
      </c>
      <c r="H121">
        <v>12778</v>
      </c>
      <c r="I121">
        <v>98.73</v>
      </c>
      <c r="J121">
        <v>0.53700000000000003</v>
      </c>
      <c r="K121">
        <v>8.77</v>
      </c>
      <c r="L121" s="1">
        <v>84471495.540000007</v>
      </c>
      <c r="M121" s="1">
        <v>90537394.010000005</v>
      </c>
      <c r="N121" s="1">
        <v>24618.65</v>
      </c>
      <c r="O121" s="3">
        <f>Tabela1[[#This Row],[Total de receitas brutas realizadas - R$ '[2024']]]-Tabela1[[#This Row],[Total de despesas brutas empenhadas - R$ '[2024']]]</f>
        <v>-6065898.4699999988</v>
      </c>
      <c r="P121" s="1">
        <f>(Tabela1[[#This Row],[Total de receitas brutas realizadas - R$ '[2024']]]-Tabela1[[#This Row],[Total de despesas brutas empenhadas - R$ '[2024']]])/Tabela1[[#This Row],[População estimada - pessoas '[2025']]]</f>
        <v>-474.71423305681628</v>
      </c>
      <c r="Q121" s="1">
        <f>Tabela1[[#This Row],[Total de receitas brutas realizadas - R$ '[2024']]]/Tabela1[[#This Row],[População estimada - pessoas '[2025']]]</f>
        <v>6610.697725778683</v>
      </c>
      <c r="R12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22" spans="1:18" x14ac:dyDescent="0.25">
      <c r="A122" t="s">
        <v>369</v>
      </c>
      <c r="B122">
        <v>2610400</v>
      </c>
      <c r="C122" t="s">
        <v>370</v>
      </c>
      <c r="D122" t="s">
        <v>371</v>
      </c>
      <c r="E122">
        <v>2609.5479999999998</v>
      </c>
      <c r="F122">
        <v>18612</v>
      </c>
      <c r="G122">
        <v>7.13</v>
      </c>
      <c r="H122">
        <v>18960</v>
      </c>
      <c r="I122">
        <v>98.35</v>
      </c>
      <c r="J122">
        <v>0.59899999999999998</v>
      </c>
      <c r="K122">
        <v>12.61</v>
      </c>
      <c r="L122" s="1">
        <v>118892552.42</v>
      </c>
      <c r="M122" s="1">
        <v>119794165.95999999</v>
      </c>
      <c r="N122" s="1">
        <v>9604.0400000000009</v>
      </c>
      <c r="O122" s="3">
        <f>Tabela1[[#This Row],[Total de receitas brutas realizadas - R$ '[2024']]]-Tabela1[[#This Row],[Total de despesas brutas empenhadas - R$ '[2024']]]</f>
        <v>-901613.53999999166</v>
      </c>
      <c r="P122" s="1">
        <f>(Tabela1[[#This Row],[Total de receitas brutas realizadas - R$ '[2024']]]-Tabela1[[#This Row],[Total de despesas brutas empenhadas - R$ '[2024']]])/Tabela1[[#This Row],[População estimada - pessoas '[2025']]]</f>
        <v>-47.553456751054412</v>
      </c>
      <c r="Q122" s="1">
        <f>Tabela1[[#This Row],[Total de receitas brutas realizadas - R$ '[2024']]]/Tabela1[[#This Row],[População estimada - pessoas '[2025']]]</f>
        <v>6270.7042415611813</v>
      </c>
      <c r="R12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23" spans="1:18" x14ac:dyDescent="0.25">
      <c r="A123" t="s">
        <v>372</v>
      </c>
      <c r="B123">
        <v>2610509</v>
      </c>
      <c r="C123" t="s">
        <v>373</v>
      </c>
      <c r="D123" t="s">
        <v>374</v>
      </c>
      <c r="E123">
        <v>327.20999999999998</v>
      </c>
      <c r="F123">
        <v>28340</v>
      </c>
      <c r="G123">
        <v>86.61</v>
      </c>
      <c r="H123">
        <v>29744</v>
      </c>
      <c r="I123">
        <v>98.83</v>
      </c>
      <c r="J123">
        <v>0.59199999999999997</v>
      </c>
      <c r="K123">
        <v>18.13</v>
      </c>
      <c r="L123" s="1">
        <v>149998804.41</v>
      </c>
      <c r="M123" s="1">
        <v>134316430.66</v>
      </c>
      <c r="N123" s="1">
        <v>9167.82</v>
      </c>
      <c r="O123" s="3">
        <f>Tabela1[[#This Row],[Total de receitas brutas realizadas - R$ '[2024']]]-Tabela1[[#This Row],[Total de despesas brutas empenhadas - R$ '[2024']]]</f>
        <v>15682373.75</v>
      </c>
      <c r="P123" s="1">
        <f>(Tabela1[[#This Row],[Total de receitas brutas realizadas - R$ '[2024']]]-Tabela1[[#This Row],[Total de despesas brutas empenhadas - R$ '[2024']]])/Tabela1[[#This Row],[População estimada - pessoas '[2025']]]</f>
        <v>527.24494856105434</v>
      </c>
      <c r="Q123" s="1">
        <f>Tabela1[[#This Row],[Total de receitas brutas realizadas - R$ '[2024']]]/Tabela1[[#This Row],[População estimada - pessoas '[2025']]]</f>
        <v>5042.9936931818183</v>
      </c>
      <c r="R12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24" spans="1:18" x14ac:dyDescent="0.25">
      <c r="A124" t="s">
        <v>375</v>
      </c>
      <c r="B124">
        <v>2610608</v>
      </c>
      <c r="C124" t="s">
        <v>376</v>
      </c>
      <c r="D124" t="s">
        <v>377</v>
      </c>
      <c r="E124">
        <v>269.65100000000001</v>
      </c>
      <c r="F124">
        <v>56665</v>
      </c>
      <c r="G124">
        <v>210.14</v>
      </c>
      <c r="H124">
        <v>59924</v>
      </c>
      <c r="I124">
        <v>97.69</v>
      </c>
      <c r="J124">
        <v>0.63900000000000001</v>
      </c>
      <c r="K124">
        <v>11.17</v>
      </c>
      <c r="L124" s="1">
        <v>296667105.58999997</v>
      </c>
      <c r="M124" s="1">
        <v>289229606.41000003</v>
      </c>
      <c r="N124" s="1">
        <v>16153.32</v>
      </c>
      <c r="O124" s="3">
        <f>Tabela1[[#This Row],[Total de receitas brutas realizadas - R$ '[2024']]]-Tabela1[[#This Row],[Total de despesas brutas empenhadas - R$ '[2024']]]</f>
        <v>7437499.1799999475</v>
      </c>
      <c r="P124" s="1">
        <f>(Tabela1[[#This Row],[Total de receitas brutas realizadas - R$ '[2024']]]-Tabela1[[#This Row],[Total de despesas brutas empenhadas - R$ '[2024']]])/Tabela1[[#This Row],[População estimada - pessoas '[2025']]]</f>
        <v>124.11553267472044</v>
      </c>
      <c r="Q124" s="1">
        <f>Tabela1[[#This Row],[Total de receitas brutas realizadas - R$ '[2024']]]/Tabela1[[#This Row],[População estimada - pessoas '[2025']]]</f>
        <v>4950.7226752219476</v>
      </c>
      <c r="R12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25" spans="1:18" x14ac:dyDescent="0.25">
      <c r="A125" t="s">
        <v>378</v>
      </c>
      <c r="B125">
        <v>2610707</v>
      </c>
      <c r="C125" t="s">
        <v>379</v>
      </c>
      <c r="D125" t="s">
        <v>380</v>
      </c>
      <c r="E125">
        <v>96.932000000000002</v>
      </c>
      <c r="F125">
        <v>342167</v>
      </c>
      <c r="G125">
        <v>3529.97</v>
      </c>
      <c r="H125">
        <v>365144</v>
      </c>
      <c r="I125">
        <v>98.56</v>
      </c>
      <c r="J125">
        <v>0.73199999999999998</v>
      </c>
      <c r="K125">
        <v>17.489999999999998</v>
      </c>
      <c r="L125" s="1">
        <v>915910828.38999999</v>
      </c>
      <c r="M125" s="1">
        <v>961288452.63999999</v>
      </c>
      <c r="N125" s="1">
        <v>16596.43</v>
      </c>
      <c r="O125" s="3">
        <f>Tabela1[[#This Row],[Total de receitas brutas realizadas - R$ '[2024']]]-Tabela1[[#This Row],[Total de despesas brutas empenhadas - R$ '[2024']]]</f>
        <v>-45377624.25</v>
      </c>
      <c r="P125" s="1">
        <f>(Tabela1[[#This Row],[Total de receitas brutas realizadas - R$ '[2024']]]-Tabela1[[#This Row],[Total de despesas brutas empenhadas - R$ '[2024']]])/Tabela1[[#This Row],[População estimada - pessoas '[2025']]]</f>
        <v>-124.27322987643231</v>
      </c>
      <c r="Q125" s="1">
        <f>Tabela1[[#This Row],[Total de receitas brutas realizadas - R$ '[2024']]]/Tabela1[[#This Row],[População estimada - pessoas '[2025']]]</f>
        <v>2508.3551376717132</v>
      </c>
      <c r="R12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Alto</v>
      </c>
    </row>
    <row r="126" spans="1:18" x14ac:dyDescent="0.25">
      <c r="A126" t="s">
        <v>381</v>
      </c>
      <c r="B126">
        <v>2610806</v>
      </c>
      <c r="C126" t="s">
        <v>382</v>
      </c>
      <c r="D126" t="s">
        <v>383</v>
      </c>
      <c r="E126">
        <v>922.48099999999999</v>
      </c>
      <c r="F126">
        <v>22795</v>
      </c>
      <c r="G126">
        <v>24.71</v>
      </c>
      <c r="H126">
        <v>23671</v>
      </c>
      <c r="I126">
        <v>99.02</v>
      </c>
      <c r="J126">
        <v>0.56699999999999995</v>
      </c>
      <c r="K126">
        <v>24.05</v>
      </c>
      <c r="L126" s="1">
        <v>116783449.31999999</v>
      </c>
      <c r="M126" s="1">
        <v>105574687.81</v>
      </c>
      <c r="N126" s="1">
        <v>13488.22</v>
      </c>
      <c r="O126" s="3">
        <f>Tabela1[[#This Row],[Total de receitas brutas realizadas - R$ '[2024']]]-Tabela1[[#This Row],[Total de despesas brutas empenhadas - R$ '[2024']]]</f>
        <v>11208761.50999999</v>
      </c>
      <c r="P126" s="1">
        <f>(Tabela1[[#This Row],[Total de receitas brutas realizadas - R$ '[2024']]]-Tabela1[[#This Row],[Total de despesas brutas empenhadas - R$ '[2024']]])/Tabela1[[#This Row],[População estimada - pessoas '[2025']]]</f>
        <v>473.52293988424617</v>
      </c>
      <c r="Q126" s="1">
        <f>Tabela1[[#This Row],[Total de receitas brutas realizadas - R$ '[2024']]]/Tabela1[[#This Row],[População estimada - pessoas '[2025']]]</f>
        <v>4933.6086063115199</v>
      </c>
      <c r="R12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27" spans="1:18" x14ac:dyDescent="0.25">
      <c r="A127" t="s">
        <v>384</v>
      </c>
      <c r="B127">
        <v>2610905</v>
      </c>
      <c r="C127" t="s">
        <v>385</v>
      </c>
      <c r="D127" t="s">
        <v>386</v>
      </c>
      <c r="E127">
        <v>970.43899999999996</v>
      </c>
      <c r="F127">
        <v>62722</v>
      </c>
      <c r="G127">
        <v>65.33</v>
      </c>
      <c r="H127">
        <v>65481</v>
      </c>
      <c r="I127">
        <v>97.19</v>
      </c>
      <c r="J127">
        <v>0.61</v>
      </c>
      <c r="K127">
        <v>9.31</v>
      </c>
      <c r="L127" s="1">
        <v>281305769.08999997</v>
      </c>
      <c r="M127" s="1">
        <v>256768295.24000001</v>
      </c>
      <c r="N127" s="1">
        <v>12776.4</v>
      </c>
      <c r="O127" s="3">
        <f>Tabela1[[#This Row],[Total de receitas brutas realizadas - R$ '[2024']]]-Tabela1[[#This Row],[Total de despesas brutas empenhadas - R$ '[2024']]]</f>
        <v>24537473.849999964</v>
      </c>
      <c r="P127" s="1">
        <f>(Tabela1[[#This Row],[Total de receitas brutas realizadas - R$ '[2024']]]-Tabela1[[#This Row],[Total de despesas brutas empenhadas - R$ '[2024']]])/Tabela1[[#This Row],[População estimada - pessoas '[2025']]]</f>
        <v>374.72662069913355</v>
      </c>
      <c r="Q127" s="1">
        <f>Tabela1[[#This Row],[Total de receitas brutas realizadas - R$ '[2024']]]/Tabela1[[#This Row],[População estimada - pessoas '[2025']]]</f>
        <v>4295.9907315099035</v>
      </c>
      <c r="R12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28" spans="1:18" x14ac:dyDescent="0.25">
      <c r="A128" t="s">
        <v>387</v>
      </c>
      <c r="B128">
        <v>2611002</v>
      </c>
      <c r="C128" t="s">
        <v>388</v>
      </c>
      <c r="D128" t="s">
        <v>389</v>
      </c>
      <c r="E128">
        <v>1056.5889999999999</v>
      </c>
      <c r="F128">
        <v>34161</v>
      </c>
      <c r="G128">
        <v>32.33</v>
      </c>
      <c r="H128">
        <v>36104</v>
      </c>
      <c r="I128">
        <v>98.72</v>
      </c>
      <c r="J128">
        <v>0.623</v>
      </c>
      <c r="K128">
        <v>14.23</v>
      </c>
      <c r="L128" s="1">
        <v>236013940.77000001</v>
      </c>
      <c r="M128" s="1">
        <v>207616947.44999999</v>
      </c>
      <c r="N128" s="1">
        <v>44994.8</v>
      </c>
      <c r="O128" s="3">
        <f>Tabela1[[#This Row],[Total de receitas brutas realizadas - R$ '[2024']]]-Tabela1[[#This Row],[Total de despesas brutas empenhadas - R$ '[2024']]]</f>
        <v>28396993.320000023</v>
      </c>
      <c r="P128" s="1">
        <f>(Tabela1[[#This Row],[Total de receitas brutas realizadas - R$ '[2024']]]-Tabela1[[#This Row],[Total de despesas brutas empenhadas - R$ '[2024']]])/Tabela1[[#This Row],[População estimada - pessoas '[2025']]]</f>
        <v>786.53316308442345</v>
      </c>
      <c r="Q128" s="1">
        <f>Tabela1[[#This Row],[Total de receitas brutas realizadas - R$ '[2024']]]/Tabela1[[#This Row],[População estimada - pessoas '[2025']]]</f>
        <v>6537.0579650454247</v>
      </c>
      <c r="R12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29" spans="1:18" x14ac:dyDescent="0.25">
      <c r="A129" t="s">
        <v>390</v>
      </c>
      <c r="B129">
        <v>2611101</v>
      </c>
      <c r="C129" t="s">
        <v>391</v>
      </c>
      <c r="D129" t="s">
        <v>392</v>
      </c>
      <c r="E129">
        <v>4561.87</v>
      </c>
      <c r="F129">
        <v>386791</v>
      </c>
      <c r="G129">
        <v>84.79</v>
      </c>
      <c r="H129">
        <v>418444</v>
      </c>
      <c r="I129">
        <v>98.29</v>
      </c>
      <c r="J129">
        <v>0.69699999999999995</v>
      </c>
      <c r="K129">
        <v>14.28</v>
      </c>
      <c r="L129" s="1">
        <v>1693739255.6300001</v>
      </c>
      <c r="M129" s="1">
        <v>1640615205.3499999</v>
      </c>
      <c r="N129" s="1">
        <v>22244.46</v>
      </c>
      <c r="O129" s="3">
        <f>Tabela1[[#This Row],[Total de receitas brutas realizadas - R$ '[2024']]]-Tabela1[[#This Row],[Total de despesas brutas empenhadas - R$ '[2024']]]</f>
        <v>53124050.28000021</v>
      </c>
      <c r="P129" s="1">
        <f>(Tabela1[[#This Row],[Total de receitas brutas realizadas - R$ '[2024']]]-Tabela1[[#This Row],[Total de despesas brutas empenhadas - R$ '[2024']]])/Tabela1[[#This Row],[População estimada - pessoas '[2025']]]</f>
        <v>126.9561764059234</v>
      </c>
      <c r="Q129" s="1">
        <f>Tabela1[[#This Row],[Total de receitas brutas realizadas - R$ '[2024']]]/Tabela1[[#This Row],[População estimada - pessoas '[2025']]]</f>
        <v>4047.7083089493458</v>
      </c>
      <c r="R12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30" spans="1:18" x14ac:dyDescent="0.25">
      <c r="A130" t="s">
        <v>393</v>
      </c>
      <c r="B130">
        <v>2611200</v>
      </c>
      <c r="C130" t="s">
        <v>394</v>
      </c>
      <c r="D130" t="s">
        <v>395</v>
      </c>
      <c r="E130">
        <v>205.119</v>
      </c>
      <c r="F130">
        <v>10500</v>
      </c>
      <c r="G130">
        <v>51.19</v>
      </c>
      <c r="H130">
        <v>10792</v>
      </c>
      <c r="I130">
        <v>98.13</v>
      </c>
      <c r="J130">
        <v>0.52800000000000002</v>
      </c>
      <c r="K130">
        <v>22.9</v>
      </c>
      <c r="L130" s="1">
        <v>68446558.620000005</v>
      </c>
      <c r="M130" s="1">
        <v>57964245.07</v>
      </c>
      <c r="N130" s="1">
        <v>9029.6299999999992</v>
      </c>
      <c r="O130" s="3">
        <f>Tabela1[[#This Row],[Total de receitas brutas realizadas - R$ '[2024']]]-Tabela1[[#This Row],[Total de despesas brutas empenhadas - R$ '[2024']]]</f>
        <v>10482313.550000004</v>
      </c>
      <c r="P130" s="1">
        <f>(Tabela1[[#This Row],[Total de receitas brutas realizadas - R$ '[2024']]]-Tabela1[[#This Row],[Total de despesas brutas empenhadas - R$ '[2024']]])/Tabela1[[#This Row],[População estimada - pessoas '[2025']]]</f>
        <v>971.30407246108268</v>
      </c>
      <c r="Q130" s="1">
        <f>Tabela1[[#This Row],[Total de receitas brutas realizadas - R$ '[2024']]]/Tabela1[[#This Row],[População estimada - pessoas '[2025']]]</f>
        <v>6342.3423480355823</v>
      </c>
      <c r="R13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31" spans="1:18" x14ac:dyDescent="0.25">
      <c r="A131" t="s">
        <v>396</v>
      </c>
      <c r="B131">
        <v>2611309</v>
      </c>
      <c r="C131" t="s">
        <v>397</v>
      </c>
      <c r="D131" t="s">
        <v>398</v>
      </c>
      <c r="E131">
        <v>203.10499999999999</v>
      </c>
      <c r="F131">
        <v>27552</v>
      </c>
      <c r="G131">
        <v>114.88</v>
      </c>
      <c r="H131">
        <v>26942</v>
      </c>
      <c r="I131">
        <v>98.45</v>
      </c>
      <c r="J131">
        <v>0.59799999999999998</v>
      </c>
      <c r="K131">
        <v>9.74</v>
      </c>
      <c r="L131" s="1">
        <v>134926381.08000001</v>
      </c>
      <c r="M131" s="1">
        <v>118649021.34</v>
      </c>
      <c r="N131" s="1">
        <v>19577.38</v>
      </c>
      <c r="O131" s="3">
        <f>Tabela1[[#This Row],[Total de receitas brutas realizadas - R$ '[2024']]]-Tabela1[[#This Row],[Total de despesas brutas empenhadas - R$ '[2024']]]</f>
        <v>16277359.74000001</v>
      </c>
      <c r="P131" s="1">
        <f>(Tabela1[[#This Row],[Total de receitas brutas realizadas - R$ '[2024']]]-Tabela1[[#This Row],[Total de despesas brutas empenhadas - R$ '[2024']]])/Tabela1[[#This Row],[População estimada - pessoas '[2025']]]</f>
        <v>604.16300720065362</v>
      </c>
      <c r="Q131" s="1">
        <f>Tabela1[[#This Row],[Total de receitas brutas realizadas - R$ '[2024']]]/Tabela1[[#This Row],[População estimada - pessoas '[2025']]]</f>
        <v>5008.0313666394486</v>
      </c>
      <c r="R13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32" spans="1:18" x14ac:dyDescent="0.25">
      <c r="A132" t="s">
        <v>399</v>
      </c>
      <c r="B132">
        <v>2611408</v>
      </c>
      <c r="C132" t="s">
        <v>400</v>
      </c>
      <c r="D132" t="s">
        <v>401</v>
      </c>
      <c r="E132">
        <v>113.563</v>
      </c>
      <c r="F132">
        <v>13838</v>
      </c>
      <c r="G132">
        <v>122.31</v>
      </c>
      <c r="H132">
        <v>14380</v>
      </c>
      <c r="I132">
        <v>99.72</v>
      </c>
      <c r="J132">
        <v>0.57999999999999996</v>
      </c>
      <c r="K132">
        <v>7.09</v>
      </c>
      <c r="L132" s="1">
        <v>73314605.909999996</v>
      </c>
      <c r="M132" s="1">
        <v>64717166.57</v>
      </c>
      <c r="N132" s="1">
        <v>19151.45</v>
      </c>
      <c r="O132" s="3">
        <f>Tabela1[[#This Row],[Total de receitas brutas realizadas - R$ '[2024']]]-Tabela1[[#This Row],[Total de despesas brutas empenhadas - R$ '[2024']]]</f>
        <v>8597439.3399999961</v>
      </c>
      <c r="P132" s="1">
        <f>(Tabela1[[#This Row],[Total de receitas brutas realizadas - R$ '[2024']]]-Tabela1[[#This Row],[Total de despesas brutas empenhadas - R$ '[2024']]])/Tabela1[[#This Row],[População estimada - pessoas '[2025']]]</f>
        <v>597.87478025034738</v>
      </c>
      <c r="Q132" s="1">
        <f>Tabela1[[#This Row],[Total de receitas brutas realizadas - R$ '[2024']]]/Tabela1[[#This Row],[População estimada - pessoas '[2025']]]</f>
        <v>5098.3731509040335</v>
      </c>
      <c r="R13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33" spans="1:18" x14ac:dyDescent="0.25">
      <c r="A133" t="s">
        <v>402</v>
      </c>
      <c r="B133">
        <v>2611507</v>
      </c>
      <c r="C133" t="s">
        <v>403</v>
      </c>
      <c r="D133" t="s">
        <v>404</v>
      </c>
      <c r="E133">
        <v>230.61699999999999</v>
      </c>
      <c r="F133">
        <v>17928</v>
      </c>
      <c r="G133">
        <v>77.739999999999995</v>
      </c>
      <c r="H133">
        <v>17731</v>
      </c>
      <c r="I133">
        <v>100</v>
      </c>
      <c r="J133">
        <v>0.55200000000000005</v>
      </c>
      <c r="K133">
        <v>13.64</v>
      </c>
      <c r="L133" s="1">
        <v>100302977.47</v>
      </c>
      <c r="M133" s="1">
        <v>97896776.989999995</v>
      </c>
      <c r="N133" s="1">
        <v>7310.24</v>
      </c>
      <c r="O133" s="3">
        <f>Tabela1[[#This Row],[Total de receitas brutas realizadas - R$ '[2024']]]-Tabela1[[#This Row],[Total de despesas brutas empenhadas - R$ '[2024']]]</f>
        <v>2406200.4800000042</v>
      </c>
      <c r="P133" s="1">
        <f>(Tabela1[[#This Row],[Total de receitas brutas realizadas - R$ '[2024']]]-Tabela1[[#This Row],[Total de despesas brutas empenhadas - R$ '[2024']]])/Tabela1[[#This Row],[População estimada - pessoas '[2025']]]</f>
        <v>135.7058530257743</v>
      </c>
      <c r="Q133" s="1">
        <f>Tabela1[[#This Row],[Total de receitas brutas realizadas - R$ '[2024']]]/Tabela1[[#This Row],[População estimada - pessoas '[2025']]]</f>
        <v>5656.927272573459</v>
      </c>
      <c r="R13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34" spans="1:18" x14ac:dyDescent="0.25">
      <c r="A134" t="s">
        <v>405</v>
      </c>
      <c r="B134">
        <v>2611533</v>
      </c>
      <c r="C134" t="s">
        <v>406</v>
      </c>
      <c r="D134" t="s">
        <v>407</v>
      </c>
      <c r="E134">
        <v>210.70500000000001</v>
      </c>
      <c r="F134">
        <v>6554</v>
      </c>
      <c r="G134">
        <v>31.11</v>
      </c>
      <c r="H134">
        <v>6753</v>
      </c>
      <c r="I134">
        <v>100</v>
      </c>
      <c r="J134">
        <v>0.57699999999999996</v>
      </c>
      <c r="K134" t="s">
        <v>24</v>
      </c>
      <c r="L134" s="1">
        <v>63193656.359999999</v>
      </c>
      <c r="M134" s="1">
        <v>57124716.560000002</v>
      </c>
      <c r="N134" s="1">
        <v>9868.19</v>
      </c>
      <c r="O134" s="3">
        <f>Tabela1[[#This Row],[Total de receitas brutas realizadas - R$ '[2024']]]-Tabela1[[#This Row],[Total de despesas brutas empenhadas - R$ '[2024']]]</f>
        <v>6068939.799999997</v>
      </c>
      <c r="P134" s="1">
        <f>(Tabela1[[#This Row],[Total de receitas brutas realizadas - R$ '[2024']]]-Tabela1[[#This Row],[Total de despesas brutas empenhadas - R$ '[2024']]])/Tabela1[[#This Row],[População estimada - pessoas '[2025']]]</f>
        <v>898.70276913964119</v>
      </c>
      <c r="Q134" s="1">
        <f>Tabela1[[#This Row],[Total de receitas brutas realizadas - R$ '[2024']]]/Tabela1[[#This Row],[População estimada - pessoas '[2025']]]</f>
        <v>9357.8641137272316</v>
      </c>
      <c r="R13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35" spans="1:18" x14ac:dyDescent="0.25">
      <c r="A135" t="s">
        <v>408</v>
      </c>
      <c r="B135">
        <v>2611606</v>
      </c>
      <c r="C135" t="s">
        <v>409</v>
      </c>
      <c r="D135" t="s">
        <v>410</v>
      </c>
      <c r="E135">
        <v>218.84299999999999</v>
      </c>
      <c r="F135">
        <v>1488920</v>
      </c>
      <c r="G135">
        <v>6803.6</v>
      </c>
      <c r="H135">
        <v>1588376</v>
      </c>
      <c r="I135">
        <v>97.57</v>
      </c>
      <c r="J135">
        <v>0.77200000000000002</v>
      </c>
      <c r="K135">
        <v>12.32</v>
      </c>
      <c r="L135" s="1">
        <v>9506737206.7600002</v>
      </c>
      <c r="M135" s="1">
        <v>9424050396.3199997</v>
      </c>
      <c r="N135" s="1">
        <v>33094.370000000003</v>
      </c>
      <c r="O135" s="3">
        <f>Tabela1[[#This Row],[Total de receitas brutas realizadas - R$ '[2024']]]-Tabela1[[#This Row],[Total de despesas brutas empenhadas - R$ '[2024']]]</f>
        <v>82686810.440000534</v>
      </c>
      <c r="P135" s="1">
        <f>(Tabela1[[#This Row],[Total de receitas brutas realizadas - R$ '[2024']]]-Tabela1[[#This Row],[Total de despesas brutas empenhadas - R$ '[2024']]])/Tabela1[[#This Row],[População estimada - pessoas '[2025']]]</f>
        <v>52.057453927785694</v>
      </c>
      <c r="Q135" s="1">
        <f>Tabela1[[#This Row],[Total de receitas brutas realizadas - R$ '[2024']]]/Tabela1[[#This Row],[População estimada - pessoas '[2025']]]</f>
        <v>5985.1931826972959</v>
      </c>
      <c r="R13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Alto</v>
      </c>
    </row>
    <row r="136" spans="1:18" x14ac:dyDescent="0.25">
      <c r="A136" t="s">
        <v>411</v>
      </c>
      <c r="B136">
        <v>2611705</v>
      </c>
      <c r="C136" t="s">
        <v>412</v>
      </c>
      <c r="D136" t="s">
        <v>413</v>
      </c>
      <c r="E136">
        <v>313.613</v>
      </c>
      <c r="F136">
        <v>20639</v>
      </c>
      <c r="G136">
        <v>65.73</v>
      </c>
      <c r="H136">
        <v>21490</v>
      </c>
      <c r="I136">
        <v>99.53</v>
      </c>
      <c r="J136">
        <v>0.56999999999999995</v>
      </c>
      <c r="K136">
        <v>7.04</v>
      </c>
      <c r="L136" s="1">
        <v>130143091.55</v>
      </c>
      <c r="M136" s="1">
        <v>111324461.55</v>
      </c>
      <c r="N136" s="1">
        <v>12560.89</v>
      </c>
      <c r="O136" s="3">
        <f>Tabela1[[#This Row],[Total de receitas brutas realizadas - R$ '[2024']]]-Tabela1[[#This Row],[Total de despesas brutas empenhadas - R$ '[2024']]]</f>
        <v>18818630</v>
      </c>
      <c r="P136" s="1">
        <f>(Tabela1[[#This Row],[Total de receitas brutas realizadas - R$ '[2024']]]-Tabela1[[#This Row],[Total de despesas brutas empenhadas - R$ '[2024']]])/Tabela1[[#This Row],[População estimada - pessoas '[2025']]]</f>
        <v>875.69241507677987</v>
      </c>
      <c r="Q136" s="1">
        <f>Tabela1[[#This Row],[Total de receitas brutas realizadas - R$ '[2024']]]/Tabela1[[#This Row],[População estimada - pessoas '[2025']]]</f>
        <v>6055.9837854816196</v>
      </c>
      <c r="R13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37" spans="1:18" x14ac:dyDescent="0.25">
      <c r="A137" t="s">
        <v>414</v>
      </c>
      <c r="B137">
        <v>2611804</v>
      </c>
      <c r="C137" t="s">
        <v>415</v>
      </c>
      <c r="D137" t="s">
        <v>416</v>
      </c>
      <c r="E137">
        <v>289.56599999999997</v>
      </c>
      <c r="F137">
        <v>33507</v>
      </c>
      <c r="G137">
        <v>115.71</v>
      </c>
      <c r="H137">
        <v>33843</v>
      </c>
      <c r="I137">
        <v>98.41</v>
      </c>
      <c r="J137">
        <v>0.60199999999999998</v>
      </c>
      <c r="K137">
        <v>10.130000000000001</v>
      </c>
      <c r="L137" s="1">
        <v>183278146.83000001</v>
      </c>
      <c r="M137" s="1">
        <v>187801121.25999999</v>
      </c>
      <c r="N137" s="1">
        <v>12055.44</v>
      </c>
      <c r="O137" s="3">
        <f>Tabela1[[#This Row],[Total de receitas brutas realizadas - R$ '[2024']]]-Tabela1[[#This Row],[Total de despesas brutas empenhadas - R$ '[2024']]]</f>
        <v>-4522974.4299999774</v>
      </c>
      <c r="P137" s="1">
        <f>(Tabela1[[#This Row],[Total de receitas brutas realizadas - R$ '[2024']]]-Tabela1[[#This Row],[Total de despesas brutas empenhadas - R$ '[2024']]])/Tabela1[[#This Row],[População estimada - pessoas '[2025']]]</f>
        <v>-133.64578878940927</v>
      </c>
      <c r="Q137" s="1">
        <f>Tabela1[[#This Row],[Total de receitas brutas realizadas - R$ '[2024']]]/Tabela1[[#This Row],[População estimada - pessoas '[2025']]]</f>
        <v>5415.5407862778129</v>
      </c>
      <c r="R13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38" spans="1:18" x14ac:dyDescent="0.25">
      <c r="A138" t="s">
        <v>417</v>
      </c>
      <c r="B138">
        <v>2611903</v>
      </c>
      <c r="C138" t="s">
        <v>418</v>
      </c>
      <c r="D138" t="s">
        <v>419</v>
      </c>
      <c r="E138">
        <v>227.458</v>
      </c>
      <c r="F138">
        <v>20009</v>
      </c>
      <c r="G138">
        <v>87.97</v>
      </c>
      <c r="H138">
        <v>20388</v>
      </c>
      <c r="I138">
        <v>99.59</v>
      </c>
      <c r="J138">
        <v>0.61299999999999999</v>
      </c>
      <c r="K138">
        <v>16.72</v>
      </c>
      <c r="L138" s="1">
        <v>129629386.92</v>
      </c>
      <c r="M138" s="1">
        <v>119049657.88</v>
      </c>
      <c r="N138" s="1">
        <v>16015.49</v>
      </c>
      <c r="O138" s="3">
        <f>Tabela1[[#This Row],[Total de receitas brutas realizadas - R$ '[2024']]]-Tabela1[[#This Row],[Total de despesas brutas empenhadas - R$ '[2024']]]</f>
        <v>10579729.040000007</v>
      </c>
      <c r="P138" s="1">
        <f>(Tabela1[[#This Row],[Total de receitas brutas realizadas - R$ '[2024']]]-Tabela1[[#This Row],[Total de despesas brutas empenhadas - R$ '[2024']]])/Tabela1[[#This Row],[População estimada - pessoas '[2025']]]</f>
        <v>518.91941534235855</v>
      </c>
      <c r="Q138" s="1">
        <f>Tabela1[[#This Row],[Total de receitas brutas realizadas - R$ '[2024']]]/Tabela1[[#This Row],[População estimada - pessoas '[2025']]]</f>
        <v>6358.1217834020017</v>
      </c>
      <c r="R13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39" spans="1:18" x14ac:dyDescent="0.25">
      <c r="A139" t="s">
        <v>420</v>
      </c>
      <c r="B139">
        <v>2612000</v>
      </c>
      <c r="C139" t="s">
        <v>421</v>
      </c>
      <c r="D139" t="s">
        <v>422</v>
      </c>
      <c r="E139">
        <v>190.45500000000001</v>
      </c>
      <c r="F139">
        <v>10887</v>
      </c>
      <c r="G139">
        <v>57.16</v>
      </c>
      <c r="H139">
        <v>11213</v>
      </c>
      <c r="I139">
        <v>97.21</v>
      </c>
      <c r="J139">
        <v>0.58499999999999996</v>
      </c>
      <c r="K139" t="s">
        <v>24</v>
      </c>
      <c r="L139" s="1">
        <v>75250823.459999993</v>
      </c>
      <c r="M139" s="1">
        <v>61729566.530000001</v>
      </c>
      <c r="N139" s="1">
        <v>18356.8</v>
      </c>
      <c r="O139" s="3">
        <f>Tabela1[[#This Row],[Total de receitas brutas realizadas - R$ '[2024']]]-Tabela1[[#This Row],[Total de despesas brutas empenhadas - R$ '[2024']]]</f>
        <v>13521256.929999992</v>
      </c>
      <c r="P139" s="1">
        <f>(Tabela1[[#This Row],[Total de receitas brutas realizadas - R$ '[2024']]]-Tabela1[[#This Row],[Total de despesas brutas empenhadas - R$ '[2024']]])/Tabela1[[#This Row],[População estimada - pessoas '[2025']]]</f>
        <v>1205.8554294122887</v>
      </c>
      <c r="Q139" s="1">
        <f>Tabela1[[#This Row],[Total de receitas brutas realizadas - R$ '[2024']]]/Tabela1[[#This Row],[População estimada - pessoas '[2025']]]</f>
        <v>6711.0339302595194</v>
      </c>
      <c r="R13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40" spans="1:18" x14ac:dyDescent="0.25">
      <c r="A140" t="s">
        <v>423</v>
      </c>
      <c r="B140">
        <v>2612109</v>
      </c>
      <c r="C140" t="s">
        <v>424</v>
      </c>
      <c r="D140" t="s">
        <v>425</v>
      </c>
      <c r="E140">
        <v>87.216999999999999</v>
      </c>
      <c r="F140">
        <v>5727</v>
      </c>
      <c r="G140">
        <v>65.66</v>
      </c>
      <c r="H140">
        <v>5478</v>
      </c>
      <c r="I140">
        <v>99.13</v>
      </c>
      <c r="J140">
        <v>0.53400000000000003</v>
      </c>
      <c r="K140">
        <v>17.86</v>
      </c>
      <c r="L140" s="1">
        <v>48695104.210000001</v>
      </c>
      <c r="M140" s="1">
        <v>47957557.939999998</v>
      </c>
      <c r="N140" s="1">
        <v>7217.62</v>
      </c>
      <c r="O140" s="3">
        <f>Tabela1[[#This Row],[Total de receitas brutas realizadas - R$ '[2024']]]-Tabela1[[#This Row],[Total de despesas brutas empenhadas - R$ '[2024']]]</f>
        <v>737546.27000000328</v>
      </c>
      <c r="P140" s="1">
        <f>(Tabela1[[#This Row],[Total de receitas brutas realizadas - R$ '[2024']]]-Tabela1[[#This Row],[Total de despesas brutas empenhadas - R$ '[2024']]])/Tabela1[[#This Row],[População estimada - pessoas '[2025']]]</f>
        <v>134.63787331142814</v>
      </c>
      <c r="Q140" s="1">
        <f>Tabela1[[#This Row],[Total de receitas brutas realizadas - R$ '[2024']]]/Tabela1[[#This Row],[População estimada - pessoas '[2025']]]</f>
        <v>8889.21215954728</v>
      </c>
      <c r="R14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41" spans="1:18" x14ac:dyDescent="0.25">
      <c r="A141" t="s">
        <v>426</v>
      </c>
      <c r="B141">
        <v>2612208</v>
      </c>
      <c r="C141" t="s">
        <v>427</v>
      </c>
      <c r="D141" t="s">
        <v>428</v>
      </c>
      <c r="E141">
        <v>1678.5640000000001</v>
      </c>
      <c r="F141">
        <v>62372</v>
      </c>
      <c r="G141">
        <v>37.159999999999997</v>
      </c>
      <c r="H141">
        <v>65946</v>
      </c>
      <c r="I141">
        <v>99.03</v>
      </c>
      <c r="J141">
        <v>0.66900000000000004</v>
      </c>
      <c r="K141">
        <v>17.47</v>
      </c>
      <c r="L141" s="1">
        <v>287164938.29000002</v>
      </c>
      <c r="M141" s="1">
        <v>266989153.71000001</v>
      </c>
      <c r="N141" s="1">
        <v>16278.25</v>
      </c>
      <c r="O141" s="3">
        <f>Tabela1[[#This Row],[Total de receitas brutas realizadas - R$ '[2024']]]-Tabela1[[#This Row],[Total de despesas brutas empenhadas - R$ '[2024']]]</f>
        <v>20175784.580000013</v>
      </c>
      <c r="P141" s="1">
        <f>(Tabela1[[#This Row],[Total de receitas brutas realizadas - R$ '[2024']]]-Tabela1[[#This Row],[Total de despesas brutas empenhadas - R$ '[2024']]])/Tabela1[[#This Row],[População estimada - pessoas '[2025']]]</f>
        <v>305.94402359506284</v>
      </c>
      <c r="Q141" s="1">
        <f>Tabela1[[#This Row],[Total de receitas brutas realizadas - R$ '[2024']]]/Tabela1[[#This Row],[População estimada - pessoas '[2025']]]</f>
        <v>4354.5467244412102</v>
      </c>
      <c r="R14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42" spans="1:18" x14ac:dyDescent="0.25">
      <c r="A142" t="s">
        <v>429</v>
      </c>
      <c r="B142">
        <v>2612307</v>
      </c>
      <c r="C142" t="s">
        <v>430</v>
      </c>
      <c r="D142" t="s">
        <v>431</v>
      </c>
      <c r="E142">
        <v>251.55</v>
      </c>
      <c r="F142">
        <v>13836</v>
      </c>
      <c r="G142">
        <v>55</v>
      </c>
      <c r="H142">
        <v>14125</v>
      </c>
      <c r="I142">
        <v>99.26</v>
      </c>
      <c r="J142">
        <v>0.55900000000000005</v>
      </c>
      <c r="K142">
        <v>18.63</v>
      </c>
      <c r="L142" s="1">
        <v>96781252.019999996</v>
      </c>
      <c r="M142" s="1">
        <v>93736904.180000007</v>
      </c>
      <c r="N142" s="1">
        <v>10771.47</v>
      </c>
      <c r="O142" s="3">
        <f>Tabela1[[#This Row],[Total de receitas brutas realizadas - R$ '[2024']]]-Tabela1[[#This Row],[Total de despesas brutas empenhadas - R$ '[2024']]]</f>
        <v>3044347.8399999887</v>
      </c>
      <c r="P142" s="1">
        <f>(Tabela1[[#This Row],[Total de receitas brutas realizadas - R$ '[2024']]]-Tabela1[[#This Row],[Total de despesas brutas empenhadas - R$ '[2024']]])/Tabela1[[#This Row],[População estimada - pessoas '[2025']]]</f>
        <v>215.52905061946822</v>
      </c>
      <c r="Q142" s="1">
        <f>Tabela1[[#This Row],[Total de receitas brutas realizadas - R$ '[2024']]]/Tabela1[[#This Row],[População estimada - pessoas '[2025']]]</f>
        <v>6851.7700545132739</v>
      </c>
      <c r="R14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43" spans="1:18" x14ac:dyDescent="0.25">
      <c r="A143" t="s">
        <v>432</v>
      </c>
      <c r="B143">
        <v>2612406</v>
      </c>
      <c r="C143" t="s">
        <v>433</v>
      </c>
      <c r="D143" t="s">
        <v>434</v>
      </c>
      <c r="E143">
        <v>268.065</v>
      </c>
      <c r="F143">
        <v>18624</v>
      </c>
      <c r="G143">
        <v>69.48</v>
      </c>
      <c r="H143">
        <v>18812</v>
      </c>
      <c r="I143">
        <v>99.48</v>
      </c>
      <c r="J143">
        <v>0.60299999999999998</v>
      </c>
      <c r="K143">
        <v>7.52</v>
      </c>
      <c r="L143" s="1">
        <v>119255610.86</v>
      </c>
      <c r="M143" s="1">
        <v>110561339.31</v>
      </c>
      <c r="N143" s="1">
        <v>9091.27</v>
      </c>
      <c r="O143" s="3">
        <f>Tabela1[[#This Row],[Total de receitas brutas realizadas - R$ '[2024']]]-Tabela1[[#This Row],[Total de despesas brutas empenhadas - R$ '[2024']]]</f>
        <v>8694271.549999997</v>
      </c>
      <c r="P143" s="1">
        <f>(Tabela1[[#This Row],[Total de receitas brutas realizadas - R$ '[2024']]]-Tabela1[[#This Row],[Total de despesas brutas empenhadas - R$ '[2024']]])/Tabela1[[#This Row],[População estimada - pessoas '[2025']]]</f>
        <v>462.16625292366558</v>
      </c>
      <c r="Q143" s="1">
        <f>Tabela1[[#This Row],[Total de receitas brutas realizadas - R$ '[2024']]]/Tabela1[[#This Row],[População estimada - pessoas '[2025']]]</f>
        <v>6339.33717095471</v>
      </c>
      <c r="R14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44" spans="1:18" x14ac:dyDescent="0.25">
      <c r="A144" t="s">
        <v>435</v>
      </c>
      <c r="B144">
        <v>2612455</v>
      </c>
      <c r="C144" t="s">
        <v>436</v>
      </c>
      <c r="D144" t="s">
        <v>437</v>
      </c>
      <c r="E144">
        <v>1245.9829999999999</v>
      </c>
      <c r="F144">
        <v>13841</v>
      </c>
      <c r="G144">
        <v>11.11</v>
      </c>
      <c r="H144">
        <v>14342</v>
      </c>
      <c r="I144">
        <v>99.37</v>
      </c>
      <c r="J144">
        <v>0.54900000000000004</v>
      </c>
      <c r="K144">
        <v>13.95</v>
      </c>
      <c r="L144" s="1">
        <v>105359814.53</v>
      </c>
      <c r="M144" s="1">
        <v>99054164.439999998</v>
      </c>
      <c r="N144" s="1">
        <v>8501.98</v>
      </c>
      <c r="O144" s="3">
        <f>Tabela1[[#This Row],[Total de receitas brutas realizadas - R$ '[2024']]]-Tabela1[[#This Row],[Total de despesas brutas empenhadas - R$ '[2024']]]</f>
        <v>6305650.0900000036</v>
      </c>
      <c r="P144" s="1">
        <f>(Tabela1[[#This Row],[Total de receitas brutas realizadas - R$ '[2024']]]-Tabela1[[#This Row],[Total de despesas brutas empenhadas - R$ '[2024']]])/Tabela1[[#This Row],[População estimada - pessoas '[2025']]]</f>
        <v>439.66323316134458</v>
      </c>
      <c r="Q144" s="1">
        <f>Tabela1[[#This Row],[Total de receitas brutas realizadas - R$ '[2024']]]/Tabela1[[#This Row],[População estimada - pessoas '[2025']]]</f>
        <v>7346.2428203876725</v>
      </c>
      <c r="R14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45" spans="1:18" x14ac:dyDescent="0.25">
      <c r="A145" t="s">
        <v>438</v>
      </c>
      <c r="B145">
        <v>2612471</v>
      </c>
      <c r="C145" t="s">
        <v>436</v>
      </c>
      <c r="D145" t="s">
        <v>439</v>
      </c>
      <c r="E145">
        <v>114.931</v>
      </c>
      <c r="F145">
        <v>11567</v>
      </c>
      <c r="G145">
        <v>100.64</v>
      </c>
      <c r="H145">
        <v>11934</v>
      </c>
      <c r="I145">
        <v>92.2</v>
      </c>
      <c r="J145">
        <v>0.61199999999999999</v>
      </c>
      <c r="K145" t="s">
        <v>24</v>
      </c>
      <c r="L145" s="1">
        <v>72868781.909999996</v>
      </c>
      <c r="M145" s="1">
        <v>74809699.099999994</v>
      </c>
      <c r="N145" s="1">
        <v>8935.61</v>
      </c>
      <c r="O145" s="3">
        <f>Tabela1[[#This Row],[Total de receitas brutas realizadas - R$ '[2024']]]-Tabela1[[#This Row],[Total de despesas brutas empenhadas - R$ '[2024']]]</f>
        <v>-1940917.1899999976</v>
      </c>
      <c r="P145" s="1">
        <f>(Tabela1[[#This Row],[Total de receitas brutas realizadas - R$ '[2024']]]-Tabela1[[#This Row],[Total de despesas brutas empenhadas - R$ '[2024']]])/Tabela1[[#This Row],[População estimada - pessoas '[2025']]]</f>
        <v>-162.63760599966463</v>
      </c>
      <c r="Q145" s="1">
        <f>Tabela1[[#This Row],[Total de receitas brutas realizadas - R$ '[2024']]]/Tabela1[[#This Row],[População estimada - pessoas '[2025']]]</f>
        <v>6105.9813901458019</v>
      </c>
      <c r="R14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46" spans="1:18" x14ac:dyDescent="0.25">
      <c r="A146" t="s">
        <v>440</v>
      </c>
      <c r="B146">
        <v>2612505</v>
      </c>
      <c r="C146" t="s">
        <v>441</v>
      </c>
      <c r="D146" t="s">
        <v>442</v>
      </c>
      <c r="E146">
        <v>335.30900000000003</v>
      </c>
      <c r="F146">
        <v>98254</v>
      </c>
      <c r="G146">
        <v>293.02999999999997</v>
      </c>
      <c r="H146">
        <v>104854</v>
      </c>
      <c r="I146">
        <v>98.18</v>
      </c>
      <c r="J146">
        <v>0.64800000000000002</v>
      </c>
      <c r="K146">
        <v>19.079999999999998</v>
      </c>
      <c r="L146" s="1">
        <v>469714600.43000001</v>
      </c>
      <c r="M146" s="1">
        <v>423796083.20999998</v>
      </c>
      <c r="N146" s="1">
        <v>17222.96</v>
      </c>
      <c r="O146" s="3">
        <f>Tabela1[[#This Row],[Total de receitas brutas realizadas - R$ '[2024']]]-Tabela1[[#This Row],[Total de despesas brutas empenhadas - R$ '[2024']]]</f>
        <v>45918517.220000029</v>
      </c>
      <c r="P146" s="1">
        <f>(Tabela1[[#This Row],[Total de receitas brutas realizadas - R$ '[2024']]]-Tabela1[[#This Row],[Total de despesas brutas empenhadas - R$ '[2024']]])/Tabela1[[#This Row],[População estimada - pessoas '[2025']]]</f>
        <v>437.92814027123455</v>
      </c>
      <c r="Q146" s="1">
        <f>Tabela1[[#This Row],[Total de receitas brutas realizadas - R$ '[2024']]]/Tabela1[[#This Row],[População estimada - pessoas '[2025']]]</f>
        <v>4479.7013030499556</v>
      </c>
      <c r="R14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47" spans="1:18" x14ac:dyDescent="0.25">
      <c r="A147" t="s">
        <v>443</v>
      </c>
      <c r="B147">
        <v>2612554</v>
      </c>
      <c r="C147" t="s">
        <v>444</v>
      </c>
      <c r="D147" t="s">
        <v>445</v>
      </c>
      <c r="E147">
        <v>1005.341</v>
      </c>
      <c r="F147">
        <v>12106</v>
      </c>
      <c r="G147">
        <v>12.04</v>
      </c>
      <c r="H147">
        <v>12360</v>
      </c>
      <c r="I147">
        <v>97.63</v>
      </c>
      <c r="J147">
        <v>0.53300000000000003</v>
      </c>
      <c r="K147">
        <v>6.1</v>
      </c>
      <c r="L147" s="1">
        <v>77210279.780000001</v>
      </c>
      <c r="M147" s="1">
        <v>67464273.209999993</v>
      </c>
      <c r="N147" s="1">
        <v>7636.03</v>
      </c>
      <c r="O147" s="3">
        <f>Tabela1[[#This Row],[Total de receitas brutas realizadas - R$ '[2024']]]-Tabela1[[#This Row],[Total de despesas brutas empenhadas - R$ '[2024']]]</f>
        <v>9746006.5700000077</v>
      </c>
      <c r="P147" s="1">
        <f>(Tabela1[[#This Row],[Total de receitas brutas realizadas - R$ '[2024']]]-Tabela1[[#This Row],[Total de despesas brutas empenhadas - R$ '[2024']]])/Tabela1[[#This Row],[População estimada - pessoas '[2025']]]</f>
        <v>788.51185841424012</v>
      </c>
      <c r="Q147" s="1">
        <f>Tabela1[[#This Row],[Total de receitas brutas realizadas - R$ '[2024']]]/Tabela1[[#This Row],[População estimada - pessoas '[2025']]]</f>
        <v>6246.7863899676377</v>
      </c>
      <c r="R14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48" spans="1:18" x14ac:dyDescent="0.25">
      <c r="A148" t="s">
        <v>446</v>
      </c>
      <c r="B148">
        <v>2612604</v>
      </c>
      <c r="C148" t="s">
        <v>447</v>
      </c>
      <c r="D148" t="s">
        <v>448</v>
      </c>
      <c r="E148">
        <v>3000.7739999999999</v>
      </c>
      <c r="F148">
        <v>40578</v>
      </c>
      <c r="G148">
        <v>13.52</v>
      </c>
      <c r="H148">
        <v>42782</v>
      </c>
      <c r="I148">
        <v>98.82</v>
      </c>
      <c r="J148">
        <v>0.59</v>
      </c>
      <c r="K148">
        <v>10.07</v>
      </c>
      <c r="L148" s="1">
        <v>216942477.69999999</v>
      </c>
      <c r="M148" s="1">
        <v>213144027.69</v>
      </c>
      <c r="N148" s="1">
        <v>13344.05</v>
      </c>
      <c r="O148" s="3">
        <f>Tabela1[[#This Row],[Total de receitas brutas realizadas - R$ '[2024']]]-Tabela1[[#This Row],[Total de despesas brutas empenhadas - R$ '[2024']]]</f>
        <v>3798450.0099999905</v>
      </c>
      <c r="P148" s="1">
        <f>(Tabela1[[#This Row],[Total de receitas brutas realizadas - R$ '[2024']]]-Tabela1[[#This Row],[Total de despesas brutas empenhadas - R$ '[2024']]])/Tabela1[[#This Row],[População estimada - pessoas '[2025']]]</f>
        <v>88.786171988219124</v>
      </c>
      <c r="Q148" s="1">
        <f>Tabela1[[#This Row],[Total de receitas brutas realizadas - R$ '[2024']]]/Tabela1[[#This Row],[População estimada - pessoas '[2025']]]</f>
        <v>5070.882092936281</v>
      </c>
      <c r="R14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49" spans="1:18" x14ac:dyDescent="0.25">
      <c r="A149" t="s">
        <v>449</v>
      </c>
      <c r="B149">
        <v>2612703</v>
      </c>
      <c r="C149" t="s">
        <v>450</v>
      </c>
      <c r="D149" t="s">
        <v>451</v>
      </c>
      <c r="E149">
        <v>92.147999999999996</v>
      </c>
      <c r="F149">
        <v>14013</v>
      </c>
      <c r="G149">
        <v>152.07</v>
      </c>
      <c r="H149">
        <v>14586</v>
      </c>
      <c r="I149">
        <v>98.27</v>
      </c>
      <c r="J149">
        <v>0.54800000000000004</v>
      </c>
      <c r="K149">
        <v>6.62</v>
      </c>
      <c r="L149" s="1">
        <v>70856572.579999998</v>
      </c>
      <c r="M149" s="1">
        <v>67512004.450000003</v>
      </c>
      <c r="N149" s="1">
        <v>8545</v>
      </c>
      <c r="O149" s="3">
        <f>Tabela1[[#This Row],[Total de receitas brutas realizadas - R$ '[2024']]]-Tabela1[[#This Row],[Total de despesas brutas empenhadas - R$ '[2024']]]</f>
        <v>3344568.1299999952</v>
      </c>
      <c r="P149" s="1">
        <f>(Tabela1[[#This Row],[Total de receitas brutas realizadas - R$ '[2024']]]-Tabela1[[#This Row],[Total de despesas brutas empenhadas - R$ '[2024']]])/Tabela1[[#This Row],[População estimada - pessoas '[2025']]]</f>
        <v>229.29988550664987</v>
      </c>
      <c r="Q149" s="1">
        <f>Tabela1[[#This Row],[Total de receitas brutas realizadas - R$ '[2024']]]/Tabela1[[#This Row],[População estimada - pessoas '[2025']]]</f>
        <v>4857.8481132592897</v>
      </c>
      <c r="R14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0" spans="1:18" x14ac:dyDescent="0.25">
      <c r="A150" t="s">
        <v>452</v>
      </c>
      <c r="B150">
        <v>2612802</v>
      </c>
      <c r="C150" t="s">
        <v>453</v>
      </c>
      <c r="D150" t="s">
        <v>454</v>
      </c>
      <c r="E150">
        <v>200.327</v>
      </c>
      <c r="F150">
        <v>10244</v>
      </c>
      <c r="G150">
        <v>51.14</v>
      </c>
      <c r="H150">
        <v>10487</v>
      </c>
      <c r="I150">
        <v>100</v>
      </c>
      <c r="J150">
        <v>0.59299999999999997</v>
      </c>
      <c r="K150">
        <v>24.19</v>
      </c>
      <c r="L150" s="1">
        <v>75822001.540000007</v>
      </c>
      <c r="M150" s="1">
        <v>70249166.840000004</v>
      </c>
      <c r="N150" s="1">
        <v>9637.75</v>
      </c>
      <c r="O150" s="3">
        <f>Tabela1[[#This Row],[Total de receitas brutas realizadas - R$ '[2024']]]-Tabela1[[#This Row],[Total de despesas brutas empenhadas - R$ '[2024']]]</f>
        <v>5572834.700000003</v>
      </c>
      <c r="P150" s="1">
        <f>(Tabela1[[#This Row],[Total de receitas brutas realizadas - R$ '[2024']]]-Tabela1[[#This Row],[Total de despesas brutas empenhadas - R$ '[2024']]])/Tabela1[[#This Row],[População estimada - pessoas '[2025']]]</f>
        <v>531.40409077906008</v>
      </c>
      <c r="Q150" s="1">
        <f>Tabela1[[#This Row],[Total de receitas brutas realizadas - R$ '[2024']]]/Tabela1[[#This Row],[População estimada - pessoas '[2025']]]</f>
        <v>7230.0945494421667</v>
      </c>
      <c r="R15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1" spans="1:18" x14ac:dyDescent="0.25">
      <c r="A151" t="s">
        <v>455</v>
      </c>
      <c r="B151">
        <v>2612901</v>
      </c>
      <c r="C151" t="s">
        <v>456</v>
      </c>
      <c r="D151" t="s">
        <v>457</v>
      </c>
      <c r="E151">
        <v>160.477</v>
      </c>
      <c r="F151">
        <v>13113</v>
      </c>
      <c r="G151">
        <v>81.709999999999994</v>
      </c>
      <c r="H151">
        <v>13456</v>
      </c>
      <c r="I151">
        <v>93.18</v>
      </c>
      <c r="J151">
        <v>0.53</v>
      </c>
      <c r="K151" t="s">
        <v>24</v>
      </c>
      <c r="L151" s="1">
        <v>72746326.390000001</v>
      </c>
      <c r="M151" s="1">
        <v>62959601.32</v>
      </c>
      <c r="N151" s="1">
        <v>7205.9</v>
      </c>
      <c r="O151" s="3">
        <f>Tabela1[[#This Row],[Total de receitas brutas realizadas - R$ '[2024']]]-Tabela1[[#This Row],[Total de despesas brutas empenhadas - R$ '[2024']]]</f>
        <v>9786725.0700000003</v>
      </c>
      <c r="P151" s="1">
        <f>(Tabela1[[#This Row],[Total de receitas brutas realizadas - R$ '[2024']]]-Tabela1[[#This Row],[Total de despesas brutas empenhadas - R$ '[2024']]])/Tabela1[[#This Row],[População estimada - pessoas '[2025']]]</f>
        <v>727.31309973246141</v>
      </c>
      <c r="Q151" s="1">
        <f>Tabela1[[#This Row],[Total de receitas brutas realizadas - R$ '[2024']]]/Tabela1[[#This Row],[População estimada - pessoas '[2025']]]</f>
        <v>5406.2370979488705</v>
      </c>
      <c r="R15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2" spans="1:18" x14ac:dyDescent="0.25">
      <c r="A152" t="s">
        <v>458</v>
      </c>
      <c r="B152">
        <v>2613008</v>
      </c>
      <c r="C152" t="s">
        <v>459</v>
      </c>
      <c r="D152" t="s">
        <v>460</v>
      </c>
      <c r="E152">
        <v>719.19299999999998</v>
      </c>
      <c r="F152">
        <v>49449</v>
      </c>
      <c r="G152">
        <v>68.760000000000005</v>
      </c>
      <c r="H152">
        <v>51165</v>
      </c>
      <c r="I152">
        <v>98.23</v>
      </c>
      <c r="J152">
        <v>0.59299999999999997</v>
      </c>
      <c r="K152">
        <v>7.04</v>
      </c>
      <c r="L152" s="1">
        <v>244110269.22</v>
      </c>
      <c r="M152" s="1">
        <v>222498240.38999999</v>
      </c>
      <c r="N152" s="1">
        <v>24529.96</v>
      </c>
      <c r="O152" s="3">
        <f>Tabela1[[#This Row],[Total de receitas brutas realizadas - R$ '[2024']]]-Tabela1[[#This Row],[Total de despesas brutas empenhadas - R$ '[2024']]]</f>
        <v>21612028.830000013</v>
      </c>
      <c r="P152" s="1">
        <f>(Tabela1[[#This Row],[Total de receitas brutas realizadas - R$ '[2024']]]-Tabela1[[#This Row],[Total de despesas brutas empenhadas - R$ '[2024']]])/Tabela1[[#This Row],[População estimada - pessoas '[2025']]]</f>
        <v>422.39868718850801</v>
      </c>
      <c r="Q152" s="1">
        <f>Tabela1[[#This Row],[Total de receitas brutas realizadas - R$ '[2024']]]/Tabela1[[#This Row],[População estimada - pessoas '[2025']]]</f>
        <v>4771.0401489299329</v>
      </c>
      <c r="R15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3" spans="1:18" x14ac:dyDescent="0.25">
      <c r="A153" t="s">
        <v>461</v>
      </c>
      <c r="B153">
        <v>2613107</v>
      </c>
      <c r="C153" t="s">
        <v>462</v>
      </c>
      <c r="D153" t="s">
        <v>463</v>
      </c>
      <c r="E153">
        <v>382.483</v>
      </c>
      <c r="F153">
        <v>37126</v>
      </c>
      <c r="G153">
        <v>97.07</v>
      </c>
      <c r="H153">
        <v>39243</v>
      </c>
      <c r="I153">
        <v>98.46</v>
      </c>
      <c r="J153">
        <v>0.59099999999999997</v>
      </c>
      <c r="K153">
        <v>14.23</v>
      </c>
      <c r="L153" s="1">
        <v>170950765.03999999</v>
      </c>
      <c r="M153" s="1">
        <v>151819655.74000001</v>
      </c>
      <c r="N153" s="1">
        <v>11941.92</v>
      </c>
      <c r="O153" s="3">
        <f>Tabela1[[#This Row],[Total de receitas brutas realizadas - R$ '[2024']]]-Tabela1[[#This Row],[Total de despesas brutas empenhadas - R$ '[2024']]]</f>
        <v>19131109.299999982</v>
      </c>
      <c r="P153" s="1">
        <f>(Tabela1[[#This Row],[Total de receitas brutas realizadas - R$ '[2024']]]-Tabela1[[#This Row],[Total de despesas brutas empenhadas - R$ '[2024']]])/Tabela1[[#This Row],[População estimada - pessoas '[2025']]]</f>
        <v>487.50374079453616</v>
      </c>
      <c r="Q153" s="1">
        <f>Tabela1[[#This Row],[Total de receitas brutas realizadas - R$ '[2024']]]/Tabela1[[#This Row],[População estimada - pessoas '[2025']]]</f>
        <v>4356.2104079708479</v>
      </c>
      <c r="R15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4" spans="1:18" x14ac:dyDescent="0.25">
      <c r="A154" t="s">
        <v>464</v>
      </c>
      <c r="B154">
        <v>2613206</v>
      </c>
      <c r="C154" t="s">
        <v>465</v>
      </c>
      <c r="D154" t="s">
        <v>466</v>
      </c>
      <c r="E154">
        <v>258.44299999999998</v>
      </c>
      <c r="F154">
        <v>23837</v>
      </c>
      <c r="G154">
        <v>92.21</v>
      </c>
      <c r="H154">
        <v>24895</v>
      </c>
      <c r="I154">
        <v>99.32</v>
      </c>
      <c r="J154">
        <v>0.56999999999999995</v>
      </c>
      <c r="K154">
        <v>30.96</v>
      </c>
      <c r="L154" s="1">
        <v>134598743.41</v>
      </c>
      <c r="M154" s="1">
        <v>132500488.42</v>
      </c>
      <c r="N154" s="1">
        <v>16964.2</v>
      </c>
      <c r="O154" s="3">
        <f>Tabela1[[#This Row],[Total de receitas brutas realizadas - R$ '[2024']]]-Tabela1[[#This Row],[Total de despesas brutas empenhadas - R$ '[2024']]]</f>
        <v>2098254.9899999946</v>
      </c>
      <c r="P154" s="1">
        <f>(Tabela1[[#This Row],[Total de receitas brutas realizadas - R$ '[2024']]]-Tabela1[[#This Row],[Total de despesas brutas empenhadas - R$ '[2024']]])/Tabela1[[#This Row],[População estimada - pessoas '[2025']]]</f>
        <v>84.284193211488031</v>
      </c>
      <c r="Q154" s="1">
        <f>Tabela1[[#This Row],[Total de receitas brutas realizadas - R$ '[2024']]]/Tabela1[[#This Row],[População estimada - pessoas '[2025']]]</f>
        <v>5406.6576987346853</v>
      </c>
      <c r="R15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5" spans="1:18" x14ac:dyDescent="0.25">
      <c r="A155" t="s">
        <v>467</v>
      </c>
      <c r="B155">
        <v>2613305</v>
      </c>
      <c r="C155" t="s">
        <v>468</v>
      </c>
      <c r="D155" t="s">
        <v>469</v>
      </c>
      <c r="E155">
        <v>224.624</v>
      </c>
      <c r="F155">
        <v>20037</v>
      </c>
      <c r="G155">
        <v>88.12</v>
      </c>
      <c r="H155">
        <v>20438</v>
      </c>
      <c r="I155">
        <v>99.13</v>
      </c>
      <c r="J155">
        <v>0.53700000000000003</v>
      </c>
      <c r="K155">
        <v>17.18</v>
      </c>
      <c r="L155" s="1">
        <v>123109003.04000001</v>
      </c>
      <c r="M155" s="1">
        <v>109056238.68000001</v>
      </c>
      <c r="N155" s="1">
        <v>8650.9</v>
      </c>
      <c r="O155" s="3">
        <f>Tabela1[[#This Row],[Total de receitas brutas realizadas - R$ '[2024']]]-Tabela1[[#This Row],[Total de despesas brutas empenhadas - R$ '[2024']]]</f>
        <v>14052764.359999999</v>
      </c>
      <c r="P155" s="1">
        <f>(Tabela1[[#This Row],[Total de receitas brutas realizadas - R$ '[2024']]]-Tabela1[[#This Row],[Total de despesas brutas empenhadas - R$ '[2024']]])/Tabela1[[#This Row],[População estimada - pessoas '[2025']]]</f>
        <v>687.58021137097558</v>
      </c>
      <c r="Q155" s="1">
        <f>Tabela1[[#This Row],[Total de receitas brutas realizadas - R$ '[2024']]]/Tabela1[[#This Row],[População estimada - pessoas '[2025']]]</f>
        <v>6023.5347411684124</v>
      </c>
      <c r="R15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56" spans="1:18" x14ac:dyDescent="0.25">
      <c r="A156" t="s">
        <v>470</v>
      </c>
      <c r="B156">
        <v>2613404</v>
      </c>
      <c r="C156" t="s">
        <v>471</v>
      </c>
      <c r="D156" t="s">
        <v>472</v>
      </c>
      <c r="E156">
        <v>69.183999999999997</v>
      </c>
      <c r="F156">
        <v>18825</v>
      </c>
      <c r="G156">
        <v>272.10000000000002</v>
      </c>
      <c r="H156">
        <v>19511</v>
      </c>
      <c r="I156">
        <v>97.39</v>
      </c>
      <c r="J156">
        <v>0.60799999999999998</v>
      </c>
      <c r="K156">
        <v>4.0999999999999996</v>
      </c>
      <c r="L156" s="1">
        <v>133234771.47</v>
      </c>
      <c r="M156" s="1">
        <v>132969435.22</v>
      </c>
      <c r="N156" s="1">
        <v>13307.45</v>
      </c>
      <c r="O156" s="3">
        <f>Tabela1[[#This Row],[Total de receitas brutas realizadas - R$ '[2024']]]-Tabela1[[#This Row],[Total de despesas brutas empenhadas - R$ '[2024']]]</f>
        <v>265336.25</v>
      </c>
      <c r="P156" s="1">
        <f>(Tabela1[[#This Row],[Total de receitas brutas realizadas - R$ '[2024']]]-Tabela1[[#This Row],[Total de despesas brutas empenhadas - R$ '[2024']]])/Tabela1[[#This Row],[População estimada - pessoas '[2025']]]</f>
        <v>13.599315770590948</v>
      </c>
      <c r="Q156" s="1">
        <f>Tabela1[[#This Row],[Total de receitas brutas realizadas - R$ '[2024']]]/Tabela1[[#This Row],[População estimada - pessoas '[2025']]]</f>
        <v>6828.7002957306131</v>
      </c>
      <c r="R15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57" spans="1:18" x14ac:dyDescent="0.25">
      <c r="A157" t="s">
        <v>473</v>
      </c>
      <c r="B157">
        <v>2613503</v>
      </c>
      <c r="C157" t="s">
        <v>474</v>
      </c>
      <c r="D157" t="s">
        <v>475</v>
      </c>
      <c r="E157">
        <v>1474.086</v>
      </c>
      <c r="F157">
        <v>34843</v>
      </c>
      <c r="G157">
        <v>23.64</v>
      </c>
      <c r="H157">
        <v>36890</v>
      </c>
      <c r="I157">
        <v>98.83</v>
      </c>
      <c r="J157">
        <v>0.61</v>
      </c>
      <c r="K157">
        <v>8.5500000000000007</v>
      </c>
      <c r="L157" s="1">
        <v>158488577.88</v>
      </c>
      <c r="M157" s="1">
        <v>171762242.31999999</v>
      </c>
      <c r="N157" s="1">
        <v>10021.24</v>
      </c>
      <c r="O157" s="3">
        <f>Tabela1[[#This Row],[Total de receitas brutas realizadas - R$ '[2024']]]-Tabela1[[#This Row],[Total de despesas brutas empenhadas - R$ '[2024']]]</f>
        <v>-13273664.439999998</v>
      </c>
      <c r="P157" s="1">
        <f>(Tabela1[[#This Row],[Total de receitas brutas realizadas - R$ '[2024']]]-Tabela1[[#This Row],[Total de despesas brutas empenhadas - R$ '[2024']]])/Tabela1[[#This Row],[População estimada - pessoas '[2025']]]</f>
        <v>-359.81741501761991</v>
      </c>
      <c r="Q157" s="1">
        <f>Tabela1[[#This Row],[Total de receitas brutas realizadas - R$ '[2024']]]/Tabela1[[#This Row],[População estimada - pessoas '[2025']]]</f>
        <v>4296.2477061534291</v>
      </c>
      <c r="R15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58" spans="1:18" x14ac:dyDescent="0.25">
      <c r="A158" t="s">
        <v>476</v>
      </c>
      <c r="B158">
        <v>2613602</v>
      </c>
      <c r="C158" t="s">
        <v>477</v>
      </c>
      <c r="D158" t="s">
        <v>478</v>
      </c>
      <c r="E158">
        <v>774.03700000000003</v>
      </c>
      <c r="F158">
        <v>31004</v>
      </c>
      <c r="G158">
        <v>40.049999999999997</v>
      </c>
      <c r="H158">
        <v>32508</v>
      </c>
      <c r="I158">
        <v>99.06</v>
      </c>
      <c r="J158">
        <v>0.63500000000000001</v>
      </c>
      <c r="K158">
        <v>16.260000000000002</v>
      </c>
      <c r="L158" s="1">
        <v>162624304.09999999</v>
      </c>
      <c r="M158" s="1">
        <v>154239552.49000001</v>
      </c>
      <c r="N158" s="1">
        <v>12894.4</v>
      </c>
      <c r="O158" s="3">
        <f>Tabela1[[#This Row],[Total de receitas brutas realizadas - R$ '[2024']]]-Tabela1[[#This Row],[Total de despesas brutas empenhadas - R$ '[2024']]]</f>
        <v>8384751.6099999845</v>
      </c>
      <c r="P158" s="1">
        <f>(Tabela1[[#This Row],[Total de receitas brutas realizadas - R$ '[2024']]]-Tabela1[[#This Row],[Total de despesas brutas empenhadas - R$ '[2024']]])/Tabela1[[#This Row],[População estimada - pessoas '[2025']]]</f>
        <v>257.92886704811076</v>
      </c>
      <c r="Q158" s="1">
        <f>Tabela1[[#This Row],[Total de receitas brutas realizadas - R$ '[2024']]]/Tabela1[[#This Row],[População estimada - pessoas '[2025']]]</f>
        <v>5002.5933339485664</v>
      </c>
      <c r="R15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59" spans="1:18" x14ac:dyDescent="0.25">
      <c r="A159" t="s">
        <v>479</v>
      </c>
      <c r="B159">
        <v>2613701</v>
      </c>
      <c r="C159" t="s">
        <v>480</v>
      </c>
      <c r="D159" t="s">
        <v>481</v>
      </c>
      <c r="E159">
        <v>263.68700000000001</v>
      </c>
      <c r="F159">
        <v>111249</v>
      </c>
      <c r="G159">
        <v>421.9</v>
      </c>
      <c r="H159">
        <v>118258</v>
      </c>
      <c r="I159">
        <v>96.3</v>
      </c>
      <c r="J159">
        <v>0.65300000000000002</v>
      </c>
      <c r="K159">
        <v>12.07</v>
      </c>
      <c r="L159" s="1">
        <v>402209901.13999999</v>
      </c>
      <c r="M159" s="1">
        <v>364977611.18000001</v>
      </c>
      <c r="N159" s="1">
        <v>12568.1</v>
      </c>
      <c r="O159" s="3">
        <f>Tabela1[[#This Row],[Total de receitas brutas realizadas - R$ '[2024']]]-Tabela1[[#This Row],[Total de despesas brutas empenhadas - R$ '[2024']]]</f>
        <v>37232289.959999979</v>
      </c>
      <c r="P159" s="1">
        <f>(Tabela1[[#This Row],[Total de receitas brutas realizadas - R$ '[2024']]]-Tabela1[[#This Row],[Total de despesas brutas empenhadas - R$ '[2024']]])/Tabela1[[#This Row],[População estimada - pessoas '[2025']]]</f>
        <v>314.83950312029611</v>
      </c>
      <c r="Q159" s="1">
        <f>Tabela1[[#This Row],[Total de receitas brutas realizadas - R$ '[2024']]]/Tabela1[[#This Row],[População estimada - pessoas '[2025']]]</f>
        <v>3401.1221324561552</v>
      </c>
      <c r="R15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60" spans="1:18" x14ac:dyDescent="0.25">
      <c r="A160" t="s">
        <v>482</v>
      </c>
      <c r="B160">
        <v>2613800</v>
      </c>
      <c r="C160" t="s">
        <v>483</v>
      </c>
      <c r="D160" t="s">
        <v>484</v>
      </c>
      <c r="E160">
        <v>112.47199999999999</v>
      </c>
      <c r="F160">
        <v>16677</v>
      </c>
      <c r="G160">
        <v>148.16999999999999</v>
      </c>
      <c r="H160">
        <v>17177</v>
      </c>
      <c r="I160">
        <v>97.01</v>
      </c>
      <c r="J160">
        <v>0.54900000000000004</v>
      </c>
      <c r="K160">
        <v>22.62</v>
      </c>
      <c r="L160" s="1">
        <v>105157454.88</v>
      </c>
      <c r="M160" s="1">
        <v>95781203.299999997</v>
      </c>
      <c r="N160" s="1">
        <v>11544.25</v>
      </c>
      <c r="O160" s="3">
        <f>Tabela1[[#This Row],[Total de receitas brutas realizadas - R$ '[2024']]]-Tabela1[[#This Row],[Total de despesas brutas empenhadas - R$ '[2024']]]</f>
        <v>9376251.5799999982</v>
      </c>
      <c r="P160" s="1">
        <f>(Tabela1[[#This Row],[Total de receitas brutas realizadas - R$ '[2024']]]-Tabela1[[#This Row],[Total de despesas brutas empenhadas - R$ '[2024']]])/Tabela1[[#This Row],[População estimada - pessoas '[2025']]]</f>
        <v>545.86083600162999</v>
      </c>
      <c r="Q160" s="1">
        <f>Tabela1[[#This Row],[Total de receitas brutas realizadas - R$ '[2024']]]/Tabela1[[#This Row],[População estimada - pessoas '[2025']]]</f>
        <v>6121.9919007975777</v>
      </c>
      <c r="R16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61" spans="1:18" x14ac:dyDescent="0.25">
      <c r="A161" t="s">
        <v>485</v>
      </c>
      <c r="B161">
        <v>2613909</v>
      </c>
      <c r="C161" t="s">
        <v>486</v>
      </c>
      <c r="D161" t="s">
        <v>487</v>
      </c>
      <c r="E161">
        <v>2980.0070000000001</v>
      </c>
      <c r="F161">
        <v>92228</v>
      </c>
      <c r="G161">
        <v>30.95</v>
      </c>
      <c r="H161">
        <v>98816</v>
      </c>
      <c r="I161">
        <v>99.27</v>
      </c>
      <c r="J161">
        <v>0.66100000000000003</v>
      </c>
      <c r="K161">
        <v>13.31</v>
      </c>
      <c r="L161" s="1">
        <v>396164019.33999997</v>
      </c>
      <c r="M161" s="1">
        <v>410593505.97000003</v>
      </c>
      <c r="N161" s="1">
        <v>19359.84</v>
      </c>
      <c r="O161" s="3">
        <f>Tabela1[[#This Row],[Total de receitas brutas realizadas - R$ '[2024']]]-Tabela1[[#This Row],[Total de despesas brutas empenhadas - R$ '[2024']]]</f>
        <v>-14429486.630000055</v>
      </c>
      <c r="P161" s="1">
        <f>(Tabela1[[#This Row],[Total de receitas brutas realizadas - R$ '[2024']]]-Tabela1[[#This Row],[Total de despesas brutas empenhadas - R$ '[2024']]])/Tabela1[[#This Row],[População estimada - pessoas '[2025']]]</f>
        <v>-146.02378794932051</v>
      </c>
      <c r="Q161" s="1">
        <f>Tabela1[[#This Row],[Total de receitas brutas realizadas - R$ '[2024']]]/Tabela1[[#This Row],[População estimada - pessoas '[2025']]]</f>
        <v>4009.1080325048574</v>
      </c>
      <c r="R16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62" spans="1:18" x14ac:dyDescent="0.25">
      <c r="A162" t="s">
        <v>488</v>
      </c>
      <c r="B162">
        <v>2614006</v>
      </c>
      <c r="C162" t="s">
        <v>489</v>
      </c>
      <c r="D162" t="s">
        <v>490</v>
      </c>
      <c r="E162">
        <v>1535.19</v>
      </c>
      <c r="F162">
        <v>18207</v>
      </c>
      <c r="G162">
        <v>11.86</v>
      </c>
      <c r="H162">
        <v>18764</v>
      </c>
      <c r="I162">
        <v>97.95</v>
      </c>
      <c r="J162">
        <v>0.59499999999999997</v>
      </c>
      <c r="K162">
        <v>8.9700000000000006</v>
      </c>
      <c r="L162" s="1">
        <v>116615636.01000001</v>
      </c>
      <c r="M162" s="1">
        <v>114289120.22</v>
      </c>
      <c r="N162" s="1">
        <v>8382.02</v>
      </c>
      <c r="O162" s="3">
        <f>Tabela1[[#This Row],[Total de receitas brutas realizadas - R$ '[2024']]]-Tabela1[[#This Row],[Total de despesas brutas empenhadas - R$ '[2024']]]</f>
        <v>2326515.7900000066</v>
      </c>
      <c r="P162" s="1">
        <f>(Tabela1[[#This Row],[Total de receitas brutas realizadas - R$ '[2024']]]-Tabela1[[#This Row],[Total de despesas brutas empenhadas - R$ '[2024']]])/Tabela1[[#This Row],[População estimada - pessoas '[2025']]]</f>
        <v>123.98826422937574</v>
      </c>
      <c r="Q162" s="1">
        <f>Tabela1[[#This Row],[Total de receitas brutas realizadas - R$ '[2024']]]/Tabela1[[#This Row],[População estimada - pessoas '[2025']]]</f>
        <v>6214.8601582818164</v>
      </c>
      <c r="R16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63" spans="1:18" x14ac:dyDescent="0.25">
      <c r="A163" t="s">
        <v>491</v>
      </c>
      <c r="B163">
        <v>2614105</v>
      </c>
      <c r="C163" t="s">
        <v>492</v>
      </c>
      <c r="D163" t="s">
        <v>493</v>
      </c>
      <c r="E163">
        <v>2409.511</v>
      </c>
      <c r="F163">
        <v>32811</v>
      </c>
      <c r="G163">
        <v>13.55</v>
      </c>
      <c r="H163">
        <v>34271</v>
      </c>
      <c r="I163">
        <v>98.73</v>
      </c>
      <c r="J163">
        <v>0.61299999999999999</v>
      </c>
      <c r="K163">
        <v>27.93</v>
      </c>
      <c r="L163" s="1">
        <v>149320988.72</v>
      </c>
      <c r="M163" s="1">
        <v>155884864.27000001</v>
      </c>
      <c r="N163" s="1">
        <v>10151.94</v>
      </c>
      <c r="O163" s="3">
        <f>Tabela1[[#This Row],[Total de receitas brutas realizadas - R$ '[2024']]]-Tabela1[[#This Row],[Total de despesas brutas empenhadas - R$ '[2024']]]</f>
        <v>-6563875.5500000119</v>
      </c>
      <c r="P163" s="1">
        <f>(Tabela1[[#This Row],[Total de receitas brutas realizadas - R$ '[2024']]]-Tabela1[[#This Row],[Total de despesas brutas empenhadas - R$ '[2024']]])/Tabela1[[#This Row],[População estimada - pessoas '[2025']]]</f>
        <v>-191.52856788538449</v>
      </c>
      <c r="Q163" s="1">
        <f>Tabela1[[#This Row],[Total de receitas brutas realizadas - R$ '[2024']]]/Tabela1[[#This Row],[População estimada - pessoas '[2025']]]</f>
        <v>4357.0654115724665</v>
      </c>
      <c r="R16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64" spans="1:18" x14ac:dyDescent="0.25">
      <c r="A164" t="s">
        <v>494</v>
      </c>
      <c r="B164">
        <v>2614204</v>
      </c>
      <c r="C164" t="s">
        <v>495</v>
      </c>
      <c r="D164" t="s">
        <v>496</v>
      </c>
      <c r="E164">
        <v>374.32100000000003</v>
      </c>
      <c r="F164">
        <v>37596</v>
      </c>
      <c r="G164">
        <v>100.44</v>
      </c>
      <c r="H164">
        <v>39171</v>
      </c>
      <c r="I164">
        <v>99.11</v>
      </c>
      <c r="J164">
        <v>0.59699999999999998</v>
      </c>
      <c r="K164">
        <v>14.37</v>
      </c>
      <c r="L164" s="1">
        <v>203896477.06</v>
      </c>
      <c r="M164" s="1">
        <v>187074534.53999999</v>
      </c>
      <c r="N164" s="1">
        <v>15423.1</v>
      </c>
      <c r="O164" s="3">
        <f>Tabela1[[#This Row],[Total de receitas brutas realizadas - R$ '[2024']]]-Tabela1[[#This Row],[Total de despesas brutas empenhadas - R$ '[2024']]]</f>
        <v>16821942.520000011</v>
      </c>
      <c r="P164" s="1">
        <f>(Tabela1[[#This Row],[Total de receitas brutas realizadas - R$ '[2024']]]-Tabela1[[#This Row],[Total de despesas brutas empenhadas - R$ '[2024']]])/Tabela1[[#This Row],[População estimada - pessoas '[2025']]]</f>
        <v>429.44889127160428</v>
      </c>
      <c r="Q164" s="1">
        <f>Tabela1[[#This Row],[Total de receitas brutas realizadas - R$ '[2024']]]/Tabela1[[#This Row],[População estimada - pessoas '[2025']]]</f>
        <v>5205.2915948022774</v>
      </c>
      <c r="R16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65" spans="1:18" x14ac:dyDescent="0.25">
      <c r="A165" t="s">
        <v>497</v>
      </c>
      <c r="B165">
        <v>2614303</v>
      </c>
      <c r="C165" t="s">
        <v>498</v>
      </c>
      <c r="D165" t="s">
        <v>499</v>
      </c>
      <c r="E165">
        <v>404.28800000000001</v>
      </c>
      <c r="F165">
        <v>10540</v>
      </c>
      <c r="G165">
        <v>26.07</v>
      </c>
      <c r="H165">
        <v>10839</v>
      </c>
      <c r="I165">
        <v>98.73</v>
      </c>
      <c r="J165">
        <v>0.6</v>
      </c>
      <c r="K165">
        <v>25.86</v>
      </c>
      <c r="L165" s="1">
        <v>74640716.760000005</v>
      </c>
      <c r="M165" s="1">
        <v>75330146.140000001</v>
      </c>
      <c r="N165" s="1">
        <v>8074.11</v>
      </c>
      <c r="O165" s="3">
        <f>Tabela1[[#This Row],[Total de receitas brutas realizadas - R$ '[2024']]]-Tabela1[[#This Row],[Total de despesas brutas empenhadas - R$ '[2024']]]</f>
        <v>-689429.37999999523</v>
      </c>
      <c r="P165" s="1">
        <f>(Tabela1[[#This Row],[Total de receitas brutas realizadas - R$ '[2024']]]-Tabela1[[#This Row],[Total de despesas brutas empenhadas - R$ '[2024']]])/Tabela1[[#This Row],[População estimada - pessoas '[2025']]]</f>
        <v>-63.606364055724256</v>
      </c>
      <c r="Q165" s="1">
        <f>Tabela1[[#This Row],[Total de receitas brutas realizadas - R$ '[2024']]]/Tabela1[[#This Row],[População estimada - pessoas '[2025']]]</f>
        <v>6886.3102463326877</v>
      </c>
      <c r="R16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66" spans="1:18" x14ac:dyDescent="0.25">
      <c r="A166" t="s">
        <v>500</v>
      </c>
      <c r="B166">
        <v>2614402</v>
      </c>
      <c r="C166" t="s">
        <v>501</v>
      </c>
      <c r="D166" t="s">
        <v>502</v>
      </c>
      <c r="E166">
        <v>138.59899999999999</v>
      </c>
      <c r="F166">
        <v>5210</v>
      </c>
      <c r="G166">
        <v>37.65</v>
      </c>
      <c r="H166">
        <v>5386</v>
      </c>
      <c r="I166">
        <v>99.53</v>
      </c>
      <c r="J166">
        <v>0.58499999999999996</v>
      </c>
      <c r="K166" t="s">
        <v>24</v>
      </c>
      <c r="L166" s="1">
        <v>64926876.920000002</v>
      </c>
      <c r="M166" s="1">
        <v>60672312.969999999</v>
      </c>
      <c r="N166" s="1">
        <v>9390.24</v>
      </c>
      <c r="O166" s="3">
        <f>Tabela1[[#This Row],[Total de receitas brutas realizadas - R$ '[2024']]]-Tabela1[[#This Row],[Total de despesas brutas empenhadas - R$ '[2024']]]</f>
        <v>4254563.950000003</v>
      </c>
      <c r="P166" s="1">
        <f>(Tabela1[[#This Row],[Total de receitas brutas realizadas - R$ '[2024']]]-Tabela1[[#This Row],[Total de despesas brutas empenhadas - R$ '[2024']]])/Tabela1[[#This Row],[População estimada - pessoas '[2025']]]</f>
        <v>789.93018009654713</v>
      </c>
      <c r="Q166" s="1">
        <f>Tabela1[[#This Row],[Total de receitas brutas realizadas - R$ '[2024']]]/Tabela1[[#This Row],[População estimada - pessoas '[2025']]]</f>
        <v>12054.748778314148</v>
      </c>
      <c r="R16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67" spans="1:18" x14ac:dyDescent="0.25">
      <c r="A167" t="s">
        <v>503</v>
      </c>
      <c r="B167">
        <v>2614501</v>
      </c>
      <c r="C167" t="s">
        <v>504</v>
      </c>
      <c r="D167" t="s">
        <v>505</v>
      </c>
      <c r="E167">
        <v>253.29599999999999</v>
      </c>
      <c r="F167">
        <v>64120</v>
      </c>
      <c r="G167">
        <v>253.54</v>
      </c>
      <c r="H167">
        <v>67821</v>
      </c>
      <c r="I167">
        <v>98.52</v>
      </c>
      <c r="J167">
        <v>0.63500000000000001</v>
      </c>
      <c r="K167">
        <v>10.61</v>
      </c>
      <c r="L167" s="1">
        <v>249678142.71000001</v>
      </c>
      <c r="M167" s="1">
        <v>234299644.22999999</v>
      </c>
      <c r="N167" s="1">
        <v>13831.85</v>
      </c>
      <c r="O167" s="3">
        <f>Tabela1[[#This Row],[Total de receitas brutas realizadas - R$ '[2024']]]-Tabela1[[#This Row],[Total de despesas brutas empenhadas - R$ '[2024']]]</f>
        <v>15378498.480000019</v>
      </c>
      <c r="P167" s="1">
        <f>(Tabela1[[#This Row],[Total de receitas brutas realizadas - R$ '[2024']]]-Tabela1[[#This Row],[Total de despesas brutas empenhadas - R$ '[2024']]])/Tabela1[[#This Row],[População estimada - pessoas '[2025']]]</f>
        <v>226.7512788074493</v>
      </c>
      <c r="Q167" s="1">
        <f>Tabela1[[#This Row],[Total de receitas brutas realizadas - R$ '[2024']]]/Tabela1[[#This Row],[População estimada - pessoas '[2025']]]</f>
        <v>3681.4282111735306</v>
      </c>
      <c r="R16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68" spans="1:18" x14ac:dyDescent="0.25">
      <c r="A168" t="s">
        <v>506</v>
      </c>
      <c r="B168">
        <v>2614600</v>
      </c>
      <c r="C168" t="s">
        <v>507</v>
      </c>
      <c r="D168" t="s">
        <v>508</v>
      </c>
      <c r="E168">
        <v>388.459</v>
      </c>
      <c r="F168">
        <v>27681</v>
      </c>
      <c r="G168">
        <v>70.900000000000006</v>
      </c>
      <c r="H168">
        <v>29180</v>
      </c>
      <c r="I168">
        <v>99.08</v>
      </c>
      <c r="J168">
        <v>0.60499999999999998</v>
      </c>
      <c r="K168">
        <v>2.72</v>
      </c>
      <c r="L168" s="1">
        <v>135420267.80000001</v>
      </c>
      <c r="M168" s="1">
        <v>120490322.34999999</v>
      </c>
      <c r="N168" s="1">
        <v>10911.39</v>
      </c>
      <c r="O168" s="3">
        <f>Tabela1[[#This Row],[Total de receitas brutas realizadas - R$ '[2024']]]-Tabela1[[#This Row],[Total de despesas brutas empenhadas - R$ '[2024']]]</f>
        <v>14929945.450000018</v>
      </c>
      <c r="P168" s="1">
        <f>(Tabela1[[#This Row],[Total de receitas brutas realizadas - R$ '[2024']]]-Tabela1[[#This Row],[Total de despesas brutas empenhadas - R$ '[2024']]])/Tabela1[[#This Row],[População estimada - pessoas '[2025']]]</f>
        <v>511.64994688142627</v>
      </c>
      <c r="Q168" s="1">
        <f>Tabela1[[#This Row],[Total de receitas brutas realizadas - R$ '[2024']]]/Tabela1[[#This Row],[População estimada - pessoas '[2025']]]</f>
        <v>4640.8590747087046</v>
      </c>
      <c r="R16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69" spans="1:18" x14ac:dyDescent="0.25">
      <c r="A169" t="s">
        <v>509</v>
      </c>
      <c r="B169">
        <v>2614709</v>
      </c>
      <c r="C169" t="s">
        <v>510</v>
      </c>
      <c r="D169" t="s">
        <v>511</v>
      </c>
      <c r="E169">
        <v>227.601</v>
      </c>
      <c r="F169">
        <v>13738</v>
      </c>
      <c r="G169">
        <v>60.36</v>
      </c>
      <c r="H169">
        <v>14330</v>
      </c>
      <c r="I169">
        <v>96.2</v>
      </c>
      <c r="J169">
        <v>0.55400000000000005</v>
      </c>
      <c r="K169">
        <v>6.41</v>
      </c>
      <c r="L169" s="1">
        <v>80526609.890000001</v>
      </c>
      <c r="M169" s="1">
        <v>76813575.680000007</v>
      </c>
      <c r="N169" s="1">
        <v>11614.02</v>
      </c>
      <c r="O169" s="3">
        <f>Tabela1[[#This Row],[Total de receitas brutas realizadas - R$ '[2024']]]-Tabela1[[#This Row],[Total de despesas brutas empenhadas - R$ '[2024']]]</f>
        <v>3713034.2099999934</v>
      </c>
      <c r="P169" s="1">
        <f>(Tabela1[[#This Row],[Total de receitas brutas realizadas - R$ '[2024']]]-Tabela1[[#This Row],[Total de despesas brutas empenhadas - R$ '[2024']]])/Tabela1[[#This Row],[População estimada - pessoas '[2025']]]</f>
        <v>259.10915631542173</v>
      </c>
      <c r="Q169" s="1">
        <f>Tabela1[[#This Row],[Total de receitas brutas realizadas - R$ '[2024']]]/Tabela1[[#This Row],[População estimada - pessoas '[2025']]]</f>
        <v>5619.4424207955335</v>
      </c>
      <c r="R16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70" spans="1:18" x14ac:dyDescent="0.25">
      <c r="A170" t="s">
        <v>512</v>
      </c>
      <c r="B170">
        <v>2614808</v>
      </c>
      <c r="C170" t="s">
        <v>513</v>
      </c>
      <c r="D170" t="s">
        <v>514</v>
      </c>
      <c r="E170">
        <v>1264.5319999999999</v>
      </c>
      <c r="F170">
        <v>23902</v>
      </c>
      <c r="G170">
        <v>18.899999999999999</v>
      </c>
      <c r="H170">
        <v>24898</v>
      </c>
      <c r="I170">
        <v>94.57</v>
      </c>
      <c r="J170">
        <v>0.57299999999999995</v>
      </c>
      <c r="K170">
        <v>19.54</v>
      </c>
      <c r="L170" s="1">
        <v>119591506.04000001</v>
      </c>
      <c r="M170" s="1">
        <v>105055626.47</v>
      </c>
      <c r="N170" s="1">
        <v>9530.56</v>
      </c>
      <c r="O170" s="3">
        <f>Tabela1[[#This Row],[Total de receitas brutas realizadas - R$ '[2024']]]-Tabela1[[#This Row],[Total de despesas brutas empenhadas - R$ '[2024']]]</f>
        <v>14535879.570000008</v>
      </c>
      <c r="P170" s="1">
        <f>(Tabela1[[#This Row],[Total de receitas brutas realizadas - R$ '[2024']]]-Tabela1[[#This Row],[Total de despesas brutas empenhadas - R$ '[2024']]])/Tabela1[[#This Row],[População estimada - pessoas '[2025']]]</f>
        <v>583.81715679974332</v>
      </c>
      <c r="Q170" s="1">
        <f>Tabela1[[#This Row],[Total de receitas brutas realizadas - R$ '[2024']]]/Tabela1[[#This Row],[População estimada - pessoas '[2025']]]</f>
        <v>4803.2575323319143</v>
      </c>
      <c r="R17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71" spans="1:18" x14ac:dyDescent="0.25">
      <c r="A171" t="s">
        <v>515</v>
      </c>
      <c r="B171">
        <v>2614857</v>
      </c>
      <c r="C171" t="s">
        <v>516</v>
      </c>
      <c r="D171" t="s">
        <v>517</v>
      </c>
      <c r="E171">
        <v>213.75</v>
      </c>
      <c r="F171">
        <v>23561</v>
      </c>
      <c r="G171">
        <v>110.23</v>
      </c>
      <c r="H171">
        <v>24670</v>
      </c>
      <c r="I171">
        <v>97.34</v>
      </c>
      <c r="J171">
        <v>0.59299999999999997</v>
      </c>
      <c r="K171">
        <v>12.82</v>
      </c>
      <c r="L171" s="1">
        <v>147039918.56999999</v>
      </c>
      <c r="M171" s="1">
        <v>139389384.03999999</v>
      </c>
      <c r="N171" s="1">
        <v>16595.43</v>
      </c>
      <c r="O171" s="3">
        <f>Tabela1[[#This Row],[Total de receitas brutas realizadas - R$ '[2024']]]-Tabela1[[#This Row],[Total de despesas brutas empenhadas - R$ '[2024']]]</f>
        <v>7650534.5300000012</v>
      </c>
      <c r="P171" s="1">
        <f>(Tabela1[[#This Row],[Total de receitas brutas realizadas - R$ '[2024']]]-Tabela1[[#This Row],[Total de despesas brutas empenhadas - R$ '[2024']]])/Tabela1[[#This Row],[População estimada - pessoas '[2025']]]</f>
        <v>310.11489785164173</v>
      </c>
      <c r="Q171" s="1">
        <f>Tabela1[[#This Row],[Total de receitas brutas realizadas - R$ '[2024']]]/Tabela1[[#This Row],[População estimada - pessoas '[2025']]]</f>
        <v>5960.272337657073</v>
      </c>
      <c r="R17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72" spans="1:18" x14ac:dyDescent="0.25">
      <c r="A172" t="s">
        <v>518</v>
      </c>
      <c r="B172">
        <v>2615003</v>
      </c>
      <c r="C172" t="s">
        <v>519</v>
      </c>
      <c r="D172" t="s">
        <v>520</v>
      </c>
      <c r="E172">
        <v>475.18299999999999</v>
      </c>
      <c r="F172">
        <v>24736</v>
      </c>
      <c r="G172">
        <v>52.06</v>
      </c>
      <c r="H172">
        <v>25511</v>
      </c>
      <c r="I172">
        <v>98.78</v>
      </c>
      <c r="J172">
        <v>0.64100000000000001</v>
      </c>
      <c r="K172">
        <v>14.75</v>
      </c>
      <c r="L172" s="1">
        <v>119108563.62</v>
      </c>
      <c r="M172" s="1">
        <v>105266737.83</v>
      </c>
      <c r="N172" s="1">
        <v>11354.57</v>
      </c>
      <c r="O172" s="3">
        <f>Tabela1[[#This Row],[Total de receitas brutas realizadas - R$ '[2024']]]-Tabela1[[#This Row],[Total de despesas brutas empenhadas - R$ '[2024']]]</f>
        <v>13841825.790000007</v>
      </c>
      <c r="P172" s="1">
        <f>(Tabela1[[#This Row],[Total de receitas brutas realizadas - R$ '[2024']]]-Tabela1[[#This Row],[Total de despesas brutas empenhadas - R$ '[2024']]])/Tabela1[[#This Row],[População estimada - pessoas '[2025']]]</f>
        <v>542.58264238955769</v>
      </c>
      <c r="Q172" s="1">
        <f>Tabela1[[#This Row],[Total de receitas brutas realizadas - R$ '[2024']]]/Tabela1[[#This Row],[População estimada - pessoas '[2025']]]</f>
        <v>4668.910023911254</v>
      </c>
      <c r="R17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73" spans="1:18" x14ac:dyDescent="0.25">
      <c r="A173" t="s">
        <v>521</v>
      </c>
      <c r="B173">
        <v>2615102</v>
      </c>
      <c r="C173" t="s">
        <v>522</v>
      </c>
      <c r="D173" t="s">
        <v>523</v>
      </c>
      <c r="E173">
        <v>151.625</v>
      </c>
      <c r="F173">
        <v>6513</v>
      </c>
      <c r="G173">
        <v>43</v>
      </c>
      <c r="H173">
        <v>6853</v>
      </c>
      <c r="I173">
        <v>98.56</v>
      </c>
      <c r="J173">
        <v>0.54500000000000004</v>
      </c>
      <c r="K173">
        <v>9.52</v>
      </c>
      <c r="L173" s="1">
        <v>59846919.280000001</v>
      </c>
      <c r="M173" s="1">
        <v>59777172</v>
      </c>
      <c r="N173" s="1">
        <v>10463.31</v>
      </c>
      <c r="O173" s="3">
        <f>Tabela1[[#This Row],[Total de receitas brutas realizadas - R$ '[2024']]]-Tabela1[[#This Row],[Total de despesas brutas empenhadas - R$ '[2024']]]</f>
        <v>69747.280000001192</v>
      </c>
      <c r="P173" s="1">
        <f>(Tabela1[[#This Row],[Total de receitas brutas realizadas - R$ '[2024']]]-Tabela1[[#This Row],[Total de despesas brutas empenhadas - R$ '[2024']]])/Tabela1[[#This Row],[População estimada - pessoas '[2025']]]</f>
        <v>10.177627316503894</v>
      </c>
      <c r="Q173" s="1">
        <f>Tabela1[[#This Row],[Total de receitas brutas realizadas - R$ '[2024']]]/Tabela1[[#This Row],[População estimada - pessoas '[2025']]]</f>
        <v>8732.9518867649203</v>
      </c>
      <c r="R17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74" spans="1:18" x14ac:dyDescent="0.25">
      <c r="A174" t="s">
        <v>524</v>
      </c>
      <c r="B174">
        <v>2615201</v>
      </c>
      <c r="C174" t="s">
        <v>525</v>
      </c>
      <c r="D174" t="s">
        <v>526</v>
      </c>
      <c r="E174">
        <v>318.709</v>
      </c>
      <c r="F174">
        <v>8920</v>
      </c>
      <c r="G174">
        <v>27.99</v>
      </c>
      <c r="H174">
        <v>9231</v>
      </c>
      <c r="I174">
        <v>98.46</v>
      </c>
      <c r="J174">
        <v>0.59899999999999998</v>
      </c>
      <c r="K174">
        <v>9.09</v>
      </c>
      <c r="L174" s="1">
        <v>69967964.040000007</v>
      </c>
      <c r="M174" s="1">
        <v>66399019.43</v>
      </c>
      <c r="N174" s="1">
        <v>9236.2099999999991</v>
      </c>
      <c r="O174" s="3">
        <f>Tabela1[[#This Row],[Total de receitas brutas realizadas - R$ '[2024']]]-Tabela1[[#This Row],[Total de despesas brutas empenhadas - R$ '[2024']]]</f>
        <v>3568944.6100000069</v>
      </c>
      <c r="P174" s="1">
        <f>(Tabela1[[#This Row],[Total de receitas brutas realizadas - R$ '[2024']]]-Tabela1[[#This Row],[Total de despesas brutas empenhadas - R$ '[2024']]])/Tabela1[[#This Row],[População estimada - pessoas '[2025']]]</f>
        <v>386.62600043332327</v>
      </c>
      <c r="Q174" s="1">
        <f>Tabela1[[#This Row],[Total de receitas brutas realizadas - R$ '[2024']]]/Tabela1[[#This Row],[População estimada - pessoas '[2025']]]</f>
        <v>7579.6732791680215</v>
      </c>
      <c r="R17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75" spans="1:18" x14ac:dyDescent="0.25">
      <c r="A175" t="s">
        <v>527</v>
      </c>
      <c r="B175">
        <v>2615300</v>
      </c>
      <c r="C175" t="s">
        <v>528</v>
      </c>
      <c r="D175" t="s">
        <v>529</v>
      </c>
      <c r="E175">
        <v>287.68299999999999</v>
      </c>
      <c r="F175">
        <v>46147</v>
      </c>
      <c r="G175">
        <v>160.41</v>
      </c>
      <c r="H175">
        <v>47312</v>
      </c>
      <c r="I175">
        <v>97.88</v>
      </c>
      <c r="J175">
        <v>0.61799999999999999</v>
      </c>
      <c r="K175">
        <v>8.56</v>
      </c>
      <c r="L175" s="1">
        <v>239355504.19</v>
      </c>
      <c r="M175" s="1">
        <v>226220603.09999999</v>
      </c>
      <c r="N175" s="1">
        <v>14197.56</v>
      </c>
      <c r="O175" s="3">
        <f>Tabela1[[#This Row],[Total de receitas brutas realizadas - R$ '[2024']]]-Tabela1[[#This Row],[Total de despesas brutas empenhadas - R$ '[2024']]]</f>
        <v>13134901.090000004</v>
      </c>
      <c r="P175" s="1">
        <f>(Tabela1[[#This Row],[Total de receitas brutas realizadas - R$ '[2024']]]-Tabela1[[#This Row],[Total de despesas brutas empenhadas - R$ '[2024']]])/Tabela1[[#This Row],[População estimada - pessoas '[2025']]]</f>
        <v>277.62303622759561</v>
      </c>
      <c r="Q175" s="1">
        <f>Tabela1[[#This Row],[Total de receitas brutas realizadas - R$ '[2024']]]/Tabela1[[#This Row],[População estimada - pessoas '[2025']]]</f>
        <v>5059.0865782465335</v>
      </c>
      <c r="R17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76" spans="1:18" x14ac:dyDescent="0.25">
      <c r="A176" t="s">
        <v>530</v>
      </c>
      <c r="B176">
        <v>2615409</v>
      </c>
      <c r="C176" t="s">
        <v>531</v>
      </c>
      <c r="D176" t="s">
        <v>532</v>
      </c>
      <c r="E176">
        <v>25.704000000000001</v>
      </c>
      <c r="F176">
        <v>41137</v>
      </c>
      <c r="G176">
        <v>1600.41</v>
      </c>
      <c r="H176">
        <v>43921</v>
      </c>
      <c r="I176">
        <v>98.21</v>
      </c>
      <c r="J176">
        <v>0.61799999999999999</v>
      </c>
      <c r="K176">
        <v>8.0299999999999994</v>
      </c>
      <c r="L176" s="1">
        <v>214124382.88</v>
      </c>
      <c r="M176" s="1">
        <v>188943472.34999999</v>
      </c>
      <c r="N176" s="1">
        <v>16237.1</v>
      </c>
      <c r="O176" s="3">
        <f>Tabela1[[#This Row],[Total de receitas brutas realizadas - R$ '[2024']]]-Tabela1[[#This Row],[Total de despesas brutas empenhadas - R$ '[2024']]]</f>
        <v>25180910.530000001</v>
      </c>
      <c r="P176" s="1">
        <f>(Tabela1[[#This Row],[Total de receitas brutas realizadas - R$ '[2024']]]-Tabela1[[#This Row],[Total de despesas brutas empenhadas - R$ '[2024']]])/Tabela1[[#This Row],[População estimada - pessoas '[2025']]]</f>
        <v>573.32279615673599</v>
      </c>
      <c r="Q176" s="1">
        <f>Tabela1[[#This Row],[Total de receitas brutas realizadas - R$ '[2024']]]/Tabela1[[#This Row],[População estimada - pessoas '[2025']]]</f>
        <v>4875.2164768561734</v>
      </c>
      <c r="R17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77" spans="1:18" x14ac:dyDescent="0.25">
      <c r="A177" t="s">
        <v>533</v>
      </c>
      <c r="B177">
        <v>2615508</v>
      </c>
      <c r="C177" t="s">
        <v>534</v>
      </c>
      <c r="D177" t="s">
        <v>535</v>
      </c>
      <c r="E177">
        <v>137.321</v>
      </c>
      <c r="F177">
        <v>13867</v>
      </c>
      <c r="G177">
        <v>100.98</v>
      </c>
      <c r="H177">
        <v>14439</v>
      </c>
      <c r="I177">
        <v>97.56</v>
      </c>
      <c r="J177">
        <v>0.60499999999999998</v>
      </c>
      <c r="K177">
        <v>18.989999999999998</v>
      </c>
      <c r="L177" s="1">
        <v>71656042.090000004</v>
      </c>
      <c r="M177" s="1">
        <v>72522215.950000003</v>
      </c>
      <c r="N177" s="1">
        <v>12746.76</v>
      </c>
      <c r="O177" s="3">
        <f>Tabela1[[#This Row],[Total de receitas brutas realizadas - R$ '[2024']]]-Tabela1[[#This Row],[Total de despesas brutas empenhadas - R$ '[2024']]]</f>
        <v>-866173.8599999994</v>
      </c>
      <c r="P177" s="1">
        <f>(Tabela1[[#This Row],[Total de receitas brutas realizadas - R$ '[2024']]]-Tabela1[[#This Row],[Total de despesas brutas empenhadas - R$ '[2024']]])/Tabela1[[#This Row],[População estimada - pessoas '[2025']]]</f>
        <v>-59.988493662996014</v>
      </c>
      <c r="Q177" s="1">
        <f>Tabela1[[#This Row],[Total de receitas brutas realizadas - R$ '[2024']]]/Tabela1[[#This Row],[População estimada - pessoas '[2025']]]</f>
        <v>4962.6734600734126</v>
      </c>
      <c r="R17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78" spans="1:18" x14ac:dyDescent="0.25">
      <c r="A178" t="s">
        <v>536</v>
      </c>
      <c r="B178">
        <v>2615607</v>
      </c>
      <c r="C178" t="s">
        <v>537</v>
      </c>
      <c r="D178" t="s">
        <v>538</v>
      </c>
      <c r="E178">
        <v>295.76499999999999</v>
      </c>
      <c r="F178">
        <v>30321</v>
      </c>
      <c r="G178">
        <v>102.52</v>
      </c>
      <c r="H178">
        <v>32257</v>
      </c>
      <c r="I178">
        <v>99.05</v>
      </c>
      <c r="J178">
        <v>0.59499999999999997</v>
      </c>
      <c r="K178">
        <v>13.26</v>
      </c>
      <c r="L178" s="1">
        <v>158465673.03</v>
      </c>
      <c r="M178" s="1">
        <v>153473210.86000001</v>
      </c>
      <c r="N178" s="1">
        <v>13472.16</v>
      </c>
      <c r="O178" s="3">
        <f>Tabela1[[#This Row],[Total de receitas brutas realizadas - R$ '[2024']]]-Tabela1[[#This Row],[Total de despesas brutas empenhadas - R$ '[2024']]]</f>
        <v>4992462.1699999869</v>
      </c>
      <c r="P178" s="1">
        <f>(Tabela1[[#This Row],[Total de receitas brutas realizadas - R$ '[2024']]]-Tabela1[[#This Row],[Total de despesas brutas empenhadas - R$ '[2024']]])/Tabela1[[#This Row],[População estimada - pessoas '[2025']]]</f>
        <v>154.77143472734559</v>
      </c>
      <c r="Q178" s="1">
        <f>Tabela1[[#This Row],[Total de receitas brutas realizadas - R$ '[2024']]]/Tabela1[[#This Row],[População estimada - pessoas '[2025']]]</f>
        <v>4912.5979796633292</v>
      </c>
      <c r="R17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79" spans="1:18" x14ac:dyDescent="0.25">
      <c r="A179" t="s">
        <v>539</v>
      </c>
      <c r="B179">
        <v>2615706</v>
      </c>
      <c r="C179" t="s">
        <v>540</v>
      </c>
      <c r="D179" t="s">
        <v>541</v>
      </c>
      <c r="E179">
        <v>191.518</v>
      </c>
      <c r="F179">
        <v>14705</v>
      </c>
      <c r="G179">
        <v>76.78</v>
      </c>
      <c r="H179">
        <v>15141</v>
      </c>
      <c r="I179">
        <v>98.68</v>
      </c>
      <c r="J179">
        <v>0.67</v>
      </c>
      <c r="K179">
        <v>12.12</v>
      </c>
      <c r="L179" s="1">
        <v>93620728.760000005</v>
      </c>
      <c r="M179" s="1">
        <v>94919018.969999999</v>
      </c>
      <c r="N179" s="1">
        <v>10330.73</v>
      </c>
      <c r="O179" s="3">
        <f>Tabela1[[#This Row],[Total de receitas brutas realizadas - R$ '[2024']]]-Tabela1[[#This Row],[Total de despesas brutas empenhadas - R$ '[2024']]]</f>
        <v>-1298290.2099999934</v>
      </c>
      <c r="P179" s="1">
        <f>(Tabela1[[#This Row],[Total de receitas brutas realizadas - R$ '[2024']]]-Tabela1[[#This Row],[Total de despesas brutas empenhadas - R$ '[2024']]])/Tabela1[[#This Row],[População estimada - pessoas '[2025']]]</f>
        <v>-85.746662043457732</v>
      </c>
      <c r="Q179" s="1">
        <f>Tabela1[[#This Row],[Total de receitas brutas realizadas - R$ '[2024']]]/Tabela1[[#This Row],[População estimada - pessoas '[2025']]]</f>
        <v>6183.2592801003902</v>
      </c>
      <c r="R179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80" spans="1:18" x14ac:dyDescent="0.25">
      <c r="A180" t="s">
        <v>542</v>
      </c>
      <c r="B180">
        <v>2615805</v>
      </c>
      <c r="C180" t="s">
        <v>543</v>
      </c>
      <c r="D180" t="s">
        <v>544</v>
      </c>
      <c r="E180">
        <v>847.745</v>
      </c>
      <c r="F180">
        <v>26937</v>
      </c>
      <c r="G180">
        <v>28.82</v>
      </c>
      <c r="H180">
        <v>28141</v>
      </c>
      <c r="I180">
        <v>97.78</v>
      </c>
      <c r="J180">
        <v>0.51900000000000002</v>
      </c>
      <c r="K180">
        <v>11.49</v>
      </c>
      <c r="L180" s="1">
        <v>146704209.40000001</v>
      </c>
      <c r="M180" s="1">
        <v>136699314.94</v>
      </c>
      <c r="N180" s="1">
        <v>8172.21</v>
      </c>
      <c r="O180" s="3">
        <f>Tabela1[[#This Row],[Total de receitas brutas realizadas - R$ '[2024']]]-Tabela1[[#This Row],[Total de despesas brutas empenhadas - R$ '[2024']]]</f>
        <v>10004894.460000008</v>
      </c>
      <c r="P180" s="1">
        <f>(Tabela1[[#This Row],[Total de receitas brutas realizadas - R$ '[2024']]]-Tabela1[[#This Row],[Total de despesas brutas empenhadas - R$ '[2024']]])/Tabela1[[#This Row],[População estimada - pessoas '[2025']]]</f>
        <v>355.52732525496634</v>
      </c>
      <c r="Q180" s="1">
        <f>Tabela1[[#This Row],[Total de receitas brutas realizadas - R$ '[2024']]]/Tabela1[[#This Row],[População estimada - pessoas '[2025']]]</f>
        <v>5213.1839451334354</v>
      </c>
      <c r="R180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81" spans="1:18" x14ac:dyDescent="0.25">
      <c r="A181" t="s">
        <v>545</v>
      </c>
      <c r="B181">
        <v>2615904</v>
      </c>
      <c r="C181" t="s">
        <v>546</v>
      </c>
      <c r="D181" t="s">
        <v>547</v>
      </c>
      <c r="E181">
        <v>188.428</v>
      </c>
      <c r="F181">
        <v>8005</v>
      </c>
      <c r="G181">
        <v>42.24</v>
      </c>
      <c r="H181">
        <v>8261</v>
      </c>
      <c r="I181">
        <v>99.41</v>
      </c>
      <c r="J181">
        <v>0.63400000000000001</v>
      </c>
      <c r="K181">
        <v>26.55</v>
      </c>
      <c r="L181" s="1">
        <v>60036705.899999999</v>
      </c>
      <c r="M181" s="1">
        <v>61151444.060000002</v>
      </c>
      <c r="N181" s="1">
        <v>10783.76</v>
      </c>
      <c r="O181" s="3">
        <f>Tabela1[[#This Row],[Total de receitas brutas realizadas - R$ '[2024']]]-Tabela1[[#This Row],[Total de despesas brutas empenhadas - R$ '[2024']]]</f>
        <v>-1114738.1600000039</v>
      </c>
      <c r="P181" s="1">
        <f>(Tabela1[[#This Row],[Total de receitas brutas realizadas - R$ '[2024']]]-Tabela1[[#This Row],[Total de despesas brutas empenhadas - R$ '[2024']]])/Tabela1[[#This Row],[População estimada - pessoas '[2025']]]</f>
        <v>-134.93985716015058</v>
      </c>
      <c r="Q181" s="1">
        <f>Tabela1[[#This Row],[Total de receitas brutas realizadas - R$ '[2024']]]/Tabela1[[#This Row],[População estimada - pessoas '[2025']]]</f>
        <v>7267.4864907396195</v>
      </c>
      <c r="R181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82" spans="1:18" x14ac:dyDescent="0.25">
      <c r="A182" t="s">
        <v>548</v>
      </c>
      <c r="B182">
        <v>2616001</v>
      </c>
      <c r="C182" t="s">
        <v>549</v>
      </c>
      <c r="D182" t="s">
        <v>550</v>
      </c>
      <c r="E182">
        <v>331.94799999999998</v>
      </c>
      <c r="F182">
        <v>17251</v>
      </c>
      <c r="G182">
        <v>51.33</v>
      </c>
      <c r="H182">
        <v>17563</v>
      </c>
      <c r="I182">
        <v>97.81</v>
      </c>
      <c r="J182">
        <v>0.59199999999999997</v>
      </c>
      <c r="K182">
        <v>7.43</v>
      </c>
      <c r="L182" s="1">
        <v>100975711.36</v>
      </c>
      <c r="M182" s="1">
        <v>101131154.41</v>
      </c>
      <c r="N182" s="1">
        <v>13132.41</v>
      </c>
      <c r="O182" s="3">
        <f>Tabela1[[#This Row],[Total de receitas brutas realizadas - R$ '[2024']]]-Tabela1[[#This Row],[Total de despesas brutas empenhadas - R$ '[2024']]]</f>
        <v>-155443.04999999702</v>
      </c>
      <c r="P182" s="1">
        <f>(Tabela1[[#This Row],[Total de receitas brutas realizadas - R$ '[2024']]]-Tabela1[[#This Row],[Total de despesas brutas empenhadas - R$ '[2024']]])/Tabela1[[#This Row],[População estimada - pessoas '[2025']]]</f>
        <v>-8.8505978477479363</v>
      </c>
      <c r="Q182" s="1">
        <f>Tabela1[[#This Row],[Total de receitas brutas realizadas - R$ '[2024']]]/Tabela1[[#This Row],[População estimada - pessoas '[2025']]]</f>
        <v>5749.3430142914076</v>
      </c>
      <c r="R182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83" spans="1:18" x14ac:dyDescent="0.25">
      <c r="A183" t="s">
        <v>551</v>
      </c>
      <c r="B183">
        <v>2616100</v>
      </c>
      <c r="C183" t="s">
        <v>552</v>
      </c>
      <c r="D183" t="s">
        <v>553</v>
      </c>
      <c r="E183">
        <v>476.04</v>
      </c>
      <c r="F183">
        <v>9169</v>
      </c>
      <c r="G183">
        <v>19.260000000000002</v>
      </c>
      <c r="H183">
        <v>9483</v>
      </c>
      <c r="I183">
        <v>99.44</v>
      </c>
      <c r="J183">
        <v>0.60499999999999998</v>
      </c>
      <c r="K183">
        <v>34.78</v>
      </c>
      <c r="L183" s="1">
        <v>60723702.109999999</v>
      </c>
      <c r="M183" s="1">
        <v>66642786.789999999</v>
      </c>
      <c r="N183" s="1">
        <v>8454.94</v>
      </c>
      <c r="O183" s="3">
        <f>Tabela1[[#This Row],[Total de receitas brutas realizadas - R$ '[2024']]]-Tabela1[[#This Row],[Total de despesas brutas empenhadas - R$ '[2024']]]</f>
        <v>-5919084.6799999997</v>
      </c>
      <c r="P183" s="1">
        <f>(Tabela1[[#This Row],[Total de receitas brutas realizadas - R$ '[2024']]]-Tabela1[[#This Row],[Total de despesas brutas empenhadas - R$ '[2024']]])/Tabela1[[#This Row],[População estimada - pessoas '[2025']]]</f>
        <v>-624.17849625645886</v>
      </c>
      <c r="Q183" s="1">
        <f>Tabela1[[#This Row],[Total de receitas brutas realizadas - R$ '[2024']]]/Tabela1[[#This Row],[População estimada - pessoas '[2025']]]</f>
        <v>6403.4274079932511</v>
      </c>
      <c r="R183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84" spans="1:18" x14ac:dyDescent="0.25">
      <c r="A184" t="s">
        <v>554</v>
      </c>
      <c r="B184">
        <v>2616183</v>
      </c>
      <c r="C184" t="s">
        <v>555</v>
      </c>
      <c r="D184" t="s">
        <v>556</v>
      </c>
      <c r="E184">
        <v>73.631</v>
      </c>
      <c r="F184">
        <v>7558</v>
      </c>
      <c r="G184">
        <v>102.65</v>
      </c>
      <c r="H184">
        <v>7776</v>
      </c>
      <c r="I184">
        <v>99.32</v>
      </c>
      <c r="J184">
        <v>0.56299999999999994</v>
      </c>
      <c r="K184" t="s">
        <v>24</v>
      </c>
      <c r="L184" s="1">
        <v>65147973.039999999</v>
      </c>
      <c r="M184" s="1">
        <v>71128771.150000006</v>
      </c>
      <c r="N184" s="1">
        <v>9840.59</v>
      </c>
      <c r="O184" s="3">
        <f>Tabela1[[#This Row],[Total de receitas brutas realizadas - R$ '[2024']]]-Tabela1[[#This Row],[Total de despesas brutas empenhadas - R$ '[2024']]]</f>
        <v>-5980798.1100000069</v>
      </c>
      <c r="P184" s="1">
        <f>(Tabela1[[#This Row],[Total de receitas brutas realizadas - R$ '[2024']]]-Tabela1[[#This Row],[Total de despesas brutas empenhadas - R$ '[2024']]])/Tabela1[[#This Row],[População estimada - pessoas '[2025']]]</f>
        <v>-769.13555941358118</v>
      </c>
      <c r="Q184" s="1">
        <f>Tabela1[[#This Row],[Total de receitas brutas realizadas - R$ '[2024']]]/Tabela1[[#This Row],[População estimada - pessoas '[2025']]]</f>
        <v>8378.0829526748967</v>
      </c>
      <c r="R184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85" spans="1:18" x14ac:dyDescent="0.25">
      <c r="A185" t="s">
        <v>557</v>
      </c>
      <c r="B185">
        <v>2616209</v>
      </c>
      <c r="C185" t="s">
        <v>558</v>
      </c>
      <c r="D185" t="s">
        <v>559</v>
      </c>
      <c r="E185">
        <v>196.32499999999999</v>
      </c>
      <c r="F185">
        <v>21959</v>
      </c>
      <c r="G185">
        <v>111.85</v>
      </c>
      <c r="H185">
        <v>23127</v>
      </c>
      <c r="I185">
        <v>96</v>
      </c>
      <c r="J185">
        <v>0.58199999999999996</v>
      </c>
      <c r="K185">
        <v>15.56</v>
      </c>
      <c r="L185" s="1">
        <v>105236683.95</v>
      </c>
      <c r="M185" s="1">
        <v>103970366.90000001</v>
      </c>
      <c r="N185" s="1">
        <v>9187.16</v>
      </c>
      <c r="O185" s="3">
        <f>Tabela1[[#This Row],[Total de receitas brutas realizadas - R$ '[2024']]]-Tabela1[[#This Row],[Total de despesas brutas empenhadas - R$ '[2024']]]</f>
        <v>1266317.049999997</v>
      </c>
      <c r="P185" s="1">
        <f>(Tabela1[[#This Row],[Total de receitas brutas realizadas - R$ '[2024']]]-Tabela1[[#This Row],[Total de despesas brutas empenhadas - R$ '[2024']]])/Tabela1[[#This Row],[População estimada - pessoas '[2025']]]</f>
        <v>54.754920655510745</v>
      </c>
      <c r="Q185" s="1">
        <f>Tabela1[[#This Row],[Total de receitas brutas realizadas - R$ '[2024']]]/Tabela1[[#This Row],[População estimada - pessoas '[2025']]]</f>
        <v>4550.3819756129205</v>
      </c>
      <c r="R185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  <row r="186" spans="1:18" x14ac:dyDescent="0.25">
      <c r="A186" t="s">
        <v>560</v>
      </c>
      <c r="B186">
        <v>2616308</v>
      </c>
      <c r="C186" t="s">
        <v>561</v>
      </c>
      <c r="D186" t="s">
        <v>562</v>
      </c>
      <c r="E186">
        <v>227.90600000000001</v>
      </c>
      <c r="F186">
        <v>26359</v>
      </c>
      <c r="G186">
        <v>115.6</v>
      </c>
      <c r="H186">
        <v>27151</v>
      </c>
      <c r="I186">
        <v>99.84</v>
      </c>
      <c r="J186">
        <v>0.60499999999999998</v>
      </c>
      <c r="K186">
        <v>20.47</v>
      </c>
      <c r="L186" s="1">
        <v>160419434.88</v>
      </c>
      <c r="M186" s="1">
        <v>162788285.46000001</v>
      </c>
      <c r="N186" s="1">
        <v>15789.45</v>
      </c>
      <c r="O186" s="3">
        <f>Tabela1[[#This Row],[Total de receitas brutas realizadas - R$ '[2024']]]-Tabela1[[#This Row],[Total de despesas brutas empenhadas - R$ '[2024']]]</f>
        <v>-2368850.5800000131</v>
      </c>
      <c r="P186" s="1">
        <f>(Tabela1[[#This Row],[Total de receitas brutas realizadas - R$ '[2024']]]-Tabela1[[#This Row],[Total de despesas brutas empenhadas - R$ '[2024']]])/Tabela1[[#This Row],[População estimada - pessoas '[2025']]]</f>
        <v>-87.247268240580937</v>
      </c>
      <c r="Q186" s="1">
        <f>Tabela1[[#This Row],[Total de receitas brutas realizadas - R$ '[2024']]]/Tabela1[[#This Row],[População estimada - pessoas '[2025']]]</f>
        <v>5908.417180950978</v>
      </c>
      <c r="R186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87" spans="1:18" x14ac:dyDescent="0.25">
      <c r="A187" t="s">
        <v>563</v>
      </c>
      <c r="B187">
        <v>2616407</v>
      </c>
      <c r="C187" t="s">
        <v>564</v>
      </c>
      <c r="D187" t="s">
        <v>565</v>
      </c>
      <c r="E187">
        <v>373.3</v>
      </c>
      <c r="F187">
        <v>134084</v>
      </c>
      <c r="G187">
        <v>398.38</v>
      </c>
      <c r="H187">
        <v>144243</v>
      </c>
      <c r="I187">
        <v>98.29</v>
      </c>
      <c r="J187">
        <v>0.64</v>
      </c>
      <c r="K187">
        <v>5.97</v>
      </c>
      <c r="L187" s="1">
        <v>627262067.99000001</v>
      </c>
      <c r="M187" s="1">
        <v>701113181.50999999</v>
      </c>
      <c r="N187" s="1">
        <v>32423.08</v>
      </c>
      <c r="O187" s="3">
        <f>Tabela1[[#This Row],[Total de receitas brutas realizadas - R$ '[2024']]]-Tabela1[[#This Row],[Total de despesas brutas empenhadas - R$ '[2024']]]</f>
        <v>-73851113.519999981</v>
      </c>
      <c r="P187" s="1">
        <f>(Tabela1[[#This Row],[Total de receitas brutas realizadas - R$ '[2024']]]-Tabela1[[#This Row],[Total de despesas brutas empenhadas - R$ '[2024']]])/Tabela1[[#This Row],[População estimada - pessoas '[2025']]]</f>
        <v>-511.99097023772373</v>
      </c>
      <c r="Q187" s="1">
        <f>Tabela1[[#This Row],[Total de receitas brutas realizadas - R$ '[2024']]]/Tabela1[[#This Row],[População estimada - pessoas '[2025']]]</f>
        <v>4348.648239359969</v>
      </c>
      <c r="R187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Médio</v>
      </c>
    </row>
    <row r="188" spans="1:18" x14ac:dyDescent="0.25">
      <c r="A188" t="s">
        <v>566</v>
      </c>
      <c r="B188">
        <v>2616506</v>
      </c>
      <c r="C188" t="s">
        <v>567</v>
      </c>
      <c r="D188" t="s">
        <v>568</v>
      </c>
      <c r="E188">
        <v>110.815</v>
      </c>
      <c r="F188">
        <v>11611</v>
      </c>
      <c r="G188">
        <v>104.78</v>
      </c>
      <c r="H188">
        <v>11699</v>
      </c>
      <c r="I188">
        <v>99.09</v>
      </c>
      <c r="J188">
        <v>0.55200000000000005</v>
      </c>
      <c r="K188">
        <v>15</v>
      </c>
      <c r="L188" s="1">
        <v>91947385.849999994</v>
      </c>
      <c r="M188" s="1">
        <v>79341189.540000007</v>
      </c>
      <c r="N188" s="1">
        <v>9561.92</v>
      </c>
      <c r="O188" s="3">
        <f>Tabela1[[#This Row],[Total de receitas brutas realizadas - R$ '[2024']]]-Tabela1[[#This Row],[Total de despesas brutas empenhadas - R$ '[2024']]]</f>
        <v>12606196.309999987</v>
      </c>
      <c r="P188" s="1">
        <f>(Tabela1[[#This Row],[Total de receitas brutas realizadas - R$ '[2024']]]-Tabela1[[#This Row],[Total de despesas brutas empenhadas - R$ '[2024']]])/Tabela1[[#This Row],[População estimada - pessoas '[2025']]]</f>
        <v>1077.5447739122992</v>
      </c>
      <c r="Q188" s="1">
        <f>Tabela1[[#This Row],[Total de receitas brutas realizadas - R$ '[2024']]]/Tabela1[[#This Row],[População estimada - pessoas '[2025']]]</f>
        <v>7859.4226728780231</v>
      </c>
      <c r="R188" t="str">
        <f>IF(Tabela1[[#This Row],[IDHM &lt;span&gt;Índice de desenvolvimento humano municipal&lt;/span&gt; '[2010']]]&gt;=0.8,"Muito Alto",
IF(Tabela1[[#This Row],[IDHM &lt;span&gt;Índice de desenvolvimento humano municipal&lt;/span&gt; '[2010']]]&gt;=0.7,"Alto",
IF(Tabela1[[#This Row],[IDHM &lt;span&gt;Índice de desenvolvimento humano municipal&lt;/span&gt; '[2010']]]&gt;=0.6,"Médio",
IF(Tabela1[[#This Row],[IDHM &lt;span&gt;Índice de desenvolvimento humano municipal&lt;/span&gt; '[2010']]]&gt;=0.5,"Baixo",
"Muito Baixo"))))</f>
        <v>Baixo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 10</cp:lastModifiedBy>
  <dcterms:created xsi:type="dcterms:W3CDTF">2025-11-16T18:22:49Z</dcterms:created>
  <dcterms:modified xsi:type="dcterms:W3CDTF">2025-11-16T22:22:12Z</dcterms:modified>
  <cp:category/>
</cp:coreProperties>
</file>